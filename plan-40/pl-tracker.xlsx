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нель" sheetId="1" state="visible" r:id="rId3"/>
    <sheet name="Дни" sheetId="2" state="visible" r:id="rId4"/>
    <sheet name="Разговоры" sheetId="3" state="visible" r:id="rId5"/>
    <sheet name="Единицы" sheetId="4" state="visible" r:id="rId6"/>
    <sheet name="Замеры" sheetId="5" state="visible" r:id="rId7"/>
    <sheet name="Ошибки" sheetId="6" state="visible" r:id="rId8"/>
  </sheets>
  <definedNames>
    <definedName function="false" hidden="true" localSheetId="1" name="_xlnm._FilterDatabase" vbProcedure="false">Дни!$A$4:$N$44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<sst xmlns="http://schemas.openxmlformats.org/spreadsheetml/2006/main" count="262" uniqueCount="222">
  <si>
    <t xml:space="preserve">Польский до разговорного B1 — трекер</t>
  </si>
  <si>
    <t xml:space="preserve">Всё считается автоматически. Заполняешь только вкладки Дни, Разговоры, Единицы, Замеры, Ошибки.</t>
  </si>
  <si>
    <t xml:space="preserve">ПУТЬ</t>
  </si>
  <si>
    <t xml:space="preserve">Дней пройдено (выход сделан)</t>
  </si>
  <si>
    <t xml:space="preserve">Доля пути</t>
  </si>
  <si>
    <t xml:space="preserve">Критериев выполнено</t>
  </si>
  <si>
    <t xml:space="preserve">Материалов отправлено в чат</t>
  </si>
  <si>
    <t xml:space="preserve">Полный режим / мини</t>
  </si>
  <si>
    <t xml:space="preserve">ГЛАВНЫЙ ТРЕК: РАЗГОВОР</t>
  </si>
  <si>
    <t xml:space="preserve">Разговоров всего</t>
  </si>
  <si>
    <t xml:space="preserve">Минут суммарно</t>
  </si>
  <si>
    <t xml:space="preserve">Средняя длина, мин</t>
  </si>
  <si>
    <t xml:space="preserve">Самый длинный, мин</t>
  </si>
  <si>
    <t xml:space="preserve">В компании (двое поляков и больше)</t>
  </si>
  <si>
    <t xml:space="preserve">Трудных разговоров</t>
  </si>
  <si>
    <t xml:space="preserve">Ушёл в другой язык</t>
  </si>
  <si>
    <t xml:space="preserve">Из пяти запланированных трудных: 10, 25, 30, 38, 39</t>
  </si>
  <si>
    <t xml:space="preserve">ЕДИНИЦЫ</t>
  </si>
  <si>
    <t xml:space="preserve">Единиц записано</t>
  </si>
  <si>
    <t xml:space="preserve">Из них произнесено вслух</t>
  </si>
  <si>
    <t xml:space="preserve">Доля активированных</t>
  </si>
  <si>
    <t xml:space="preserve">Добыто из провалов</t>
  </si>
  <si>
    <t xml:space="preserve">ЗАМЕРЫ</t>
  </si>
  <si>
    <t xml:space="preserve">День 1</t>
  </si>
  <si>
    <t xml:space="preserve">День 20</t>
  </si>
  <si>
    <t xml:space="preserve">День 40</t>
  </si>
  <si>
    <t xml:space="preserve">Остановок &gt;2 сек</t>
  </si>
  <si>
    <t xml:space="preserve">Длиннейший кусок, сек</t>
  </si>
  <si>
    <t xml:space="preserve">Остановок на случайной теме</t>
  </si>
  <si>
    <t xml:space="preserve">ОШИБКИ: ЧТО ЕЩЁ ЖИВО</t>
  </si>
  <si>
    <t xml:space="preserve">Всего пойманных</t>
  </si>
  <si>
    <t xml:space="preserve">Круг 1 против круга 8</t>
  </si>
  <si>
    <t xml:space="preserve">Единственная метрика, которая по-настоящему важна, — количество разговоров. Остальное её обслуживает.</t>
  </si>
  <si>
    <t xml:space="preserve">Как пользоваться</t>
  </si>
  <si>
    <t xml:space="preserve">1. Открыл «Дни», нашёл следующий незакрытый номер — там же тема и критерий.</t>
  </si>
  <si>
    <t xml:space="preserve">2. Отметил ✓ по четырём трекам плюс «Разговор», если он был.</t>
  </si>
  <si>
    <t xml:space="preserve">3. Практика идёт на точность, выход — на беглость. Одновременно никогда.</t>
  </si>
  <si>
    <t xml:space="preserve">4. Единицы — в тот же день. Без галочки «сказал вслух» единица не выучена.</t>
  </si>
  <si>
    <t xml:space="preserve">5. Замеры — только в дни 1, 20 и 40, обе части подряд.</t>
  </si>
  <si>
    <t xml:space="preserve">Сорок дней</t>
  </si>
  <si>
    <t xml:space="preserve">Отмечай ✓ в синих колонках. День — единица работы, а не дата: пропустил, продолжаешь со следующего номера.</t>
  </si>
  <si>
    <t xml:space="preserve">День</t>
  </si>
  <si>
    <t xml:space="preserve">Круг</t>
  </si>
  <si>
    <t xml:space="preserve">Тема дня</t>
  </si>
  <si>
    <t xml:space="preserve">Критерий дня</t>
  </si>
  <si>
    <t xml:space="preserve">Дата</t>
  </si>
  <si>
    <t xml:space="preserve">Режим</t>
  </si>
  <si>
    <t xml:space="preserve">Ядро</t>
  </si>
  <si>
    <t xml:space="preserve">Практика</t>
  </si>
  <si>
    <t xml:space="preserve">Вход</t>
  </si>
  <si>
    <t xml:space="preserve">Выход</t>
  </si>
  <si>
    <t xml:space="preserve">Разговор</t>
  </si>
  <si>
    <t xml:space="preserve">Критерий</t>
  </si>
  <si>
    <t xml:space="preserve">В чат</t>
  </si>
  <si>
    <t xml:space="preserve">Заметка</t>
  </si>
  <si>
    <t xml:space="preserve">1. Запуск: глагол</t>
  </si>
  <si>
    <t xml:space="preserve">Нулевой замер</t>
  </si>
  <si>
    <t xml:space="preserve">Список из 5–8 остановок; записаны обе части замера</t>
  </si>
  <si>
    <t xml:space="preserve">Двадцать глаголов в настоящем</t>
  </si>
  <si>
    <t xml:space="preserve">Форма выходит меньше чем за секунду</t>
  </si>
  <si>
    <t xml:space="preserve">Слова-смазки и фразы починки</t>
  </si>
  <si>
    <t xml:space="preserve">Ни одного зависания дольше 2 секунд из-за поиска слова</t>
  </si>
  <si>
    <t xml:space="preserve">Прошедшее: мужская ветка</t>
  </si>
  <si>
    <t xml:space="preserve">Ни одного соскока в настоящее время</t>
  </si>
  <si>
    <t xml:space="preserve">Связка и творительный</t>
  </si>
  <si>
    <t xml:space="preserve">20 из 20 со связкой; прилагательное осталось в именительном</t>
  </si>
  <si>
    <t xml:space="preserve">2. Вопрос</t>
  </si>
  <si>
    <t xml:space="preserve">Вопросительные слова</t>
  </si>
  <si>
    <t xml:space="preserve">6 реплик подряд без перехода на русский</t>
  </si>
  <si>
    <t xml:space="preserve">Pan / Pani</t>
  </si>
  <si>
    <t xml:space="preserve">Ни одного соскока на ty с незнакомым</t>
  </si>
  <si>
    <t xml:space="preserve">Местоимения</t>
  </si>
  <si>
    <t xml:space="preserve">Daj mu wodę: получатель в целовнике, без dla</t>
  </si>
  <si>
    <t xml:space="preserve">Отрицание</t>
  </si>
  <si>
    <t xml:space="preserve">Biernik уходит в dopełniacz сам; остальные падежи не двигаются</t>
  </si>
  <si>
    <t xml:space="preserve">Трудный разговор №1</t>
  </si>
  <si>
    <t xml:space="preserve">Провёл и не сбежал в английский</t>
  </si>
  <si>
    <t xml:space="preserve">3. Падежи на скорость</t>
  </si>
  <si>
    <t xml:space="preserve">Biernik</t>
  </si>
  <si>
    <t xml:space="preserve">Меньше секунды на выбор формы</t>
  </si>
  <si>
    <t xml:space="preserve">Dopełniacz</t>
  </si>
  <si>
    <t xml:space="preserve">szukam apteki без раздумья</t>
  </si>
  <si>
    <t xml:space="preserve">Miejscownik</t>
  </si>
  <si>
    <t xml:space="preserve">Ни одного w parkie и ни одного w książku</t>
  </si>
  <si>
    <t xml:space="preserve">Три падежа вперемешку</t>
  </si>
  <si>
    <t xml:space="preserve">30 фраз меньше чем за 3 минуты</t>
  </si>
  <si>
    <t xml:space="preserve">Предлоги</t>
  </si>
  <si>
    <t xml:space="preserve">przy появился в активной речи</t>
  </si>
  <si>
    <t xml:space="preserve">4. Narzędnik и mi</t>
  </si>
  <si>
    <t xml:space="preserve">Narzędnik</t>
  </si>
  <si>
    <t xml:space="preserve">jadę autobusem, z żoną</t>
  </si>
  <si>
    <t xml:space="preserve">Celownik</t>
  </si>
  <si>
    <t xml:space="preserve">daję psu, pomagam sąsiadowi — без предлога и без паузы</t>
  </si>
  <si>
    <t xml:space="preserve">Безличные с mi и возвратные</t>
  </si>
  <si>
    <t xml:space="preserve">podoba mi się целиком; sobie и siebie не путаются</t>
  </si>
  <si>
    <t xml:space="preserve">Пять падежей вперемешку</t>
  </si>
  <si>
    <t xml:space="preserve">5 минут разговора без заданной темы</t>
  </si>
  <si>
    <t xml:space="preserve">СРЕДНИЙ ЗАМЕР</t>
  </si>
  <si>
    <t xml:space="preserve">Куски по 20–30 секунд; записаны обе части</t>
  </si>
  <si>
    <t xml:space="preserve">5. Время</t>
  </si>
  <si>
    <t xml:space="preserve">Прошедшее целиком</t>
  </si>
  <si>
    <t xml:space="preserve">oni → -li, one → -ły на производство, а не узнавание</t>
  </si>
  <si>
    <t xml:space="preserve">Вид глагола</t>
  </si>
  <si>
    <t xml:space="preserve">Не говорю kupię в значении «покупаю сейчас»</t>
  </si>
  <si>
    <t xml:space="preserve">Будущее время</t>
  </si>
  <si>
    <t xml:space="preserve">będę + инфинитив без сборки по частям</t>
  </si>
  <si>
    <t xml:space="preserve">Часы и даты</t>
  </si>
  <si>
    <t xml:space="preserve">o której? без паузы; числа до ста активны</t>
  </si>
  <si>
    <t xml:space="preserve">Телефонный звонок</t>
  </si>
  <si>
    <t xml:space="preserve">Позвонил и дошёл до конца разговора</t>
  </si>
  <si>
    <t xml:space="preserve">6. Вежливость</t>
  </si>
  <si>
    <t xml:space="preserve">Модальные</t>
  </si>
  <si>
    <t xml:space="preserve">Czy mogę (себе) против Czy może pan (собеседнику)</t>
  </si>
  <si>
    <t xml:space="preserve">Условное</t>
  </si>
  <si>
    <t xml:space="preserve">Czy mógłby pan вместо Proszę zrobić</t>
  </si>
  <si>
    <t xml:space="preserve">Отказ и несогласие</t>
  </si>
  <si>
    <t xml:space="preserve">Отказ звучит длиннее одного слова</t>
  </si>
  <si>
    <t xml:space="preserve">że, który, kiedy</t>
  </si>
  <si>
    <t xml:space="preserve">że выходит без сборки; który согласован по падежу</t>
  </si>
  <si>
    <t xml:space="preserve">Трудный разговор №2</t>
  </si>
  <si>
    <t xml:space="preserve">Договорённость достигнута на польском</t>
  </si>
  <si>
    <t xml:space="preserve">7. Связная речь</t>
  </si>
  <si>
    <t xml:space="preserve">Żeby и остальные союзы</t>
  </si>
  <si>
    <t xml:space="preserve">Ни одной фразы короче двух частей; żeby с окончанием</t>
  </si>
  <si>
    <t xml:space="preserve">Порядок слов</t>
  </si>
  <si>
    <t xml:space="preserve">Новое в конце; нейтральный вопрос собирается сразу</t>
  </si>
  <si>
    <t xml:space="preserve">Прилагательные</t>
  </si>
  <si>
    <t xml:space="preserve">Согласование без паузы на проверку</t>
  </si>
  <si>
    <t xml:space="preserve">Наречия</t>
  </si>
  <si>
    <t xml:space="preserve">Двадцать наречий выходят готовыми, без сборки</t>
  </si>
  <si>
    <t xml:space="preserve">Рассказ</t>
  </si>
  <si>
    <t xml:space="preserve">5 минут связно; переспросили не больше 2 раз</t>
  </si>
  <si>
    <t xml:space="preserve">8. Сборка</t>
  </si>
  <si>
    <t xml:space="preserve">Ложные друзья</t>
  </si>
  <si>
    <t xml:space="preserve">Ни одного ложного друга в речи</t>
  </si>
  <si>
    <t xml:space="preserve">Разбор словаря провалов</t>
  </si>
  <si>
    <t xml:space="preserve">Список сведён к 20 повторяющимся единицам</t>
  </si>
  <si>
    <t xml:space="preserve">Спонтанность и компания</t>
  </si>
  <si>
    <t xml:space="preserve">5 минут монолога + 3 взятые реплики в компании</t>
  </si>
  <si>
    <t xml:space="preserve">Длинный разговор</t>
  </si>
  <si>
    <t xml:space="preserve">40 минут без перехода на другой язык</t>
  </si>
  <si>
    <t xml:space="preserve">ФИНАЛЬНЫЙ ЗАМЕР</t>
  </si>
  <si>
    <t xml:space="preserve">Остановок вдвое меньше; связный кусок от 40 секунд</t>
  </si>
  <si>
    <t xml:space="preserve">Жёлтым — замеры (дни 1, 20, 40). Розовым — пять трудных разговоров. Синим — то, что заполняешь ты.</t>
  </si>
  <si>
    <t xml:space="preserve">Разговоры с людьми</t>
  </si>
  <si>
    <t xml:space="preserve">Пятый трек: идёт ежедневно и к дням плана не привязан. Если «Выход» дня уже был живым разговором — записывай его сюда, отдельно добирать не нужно.</t>
  </si>
  <si>
    <t xml:space="preserve">С кем</t>
  </si>
  <si>
    <t xml:space="preserve">Где</t>
  </si>
  <si>
    <t xml:space="preserve">Минут</t>
  </si>
  <si>
    <t xml:space="preserve">Тема</t>
  </si>
  <si>
    <t xml:space="preserve">В компании</t>
  </si>
  <si>
    <t xml:space="preserve">Трудный</t>
  </si>
  <si>
    <t xml:space="preserve">Что выбило</t>
  </si>
  <si>
    <t xml:space="preserve">01.10.2026</t>
  </si>
  <si>
    <t xml:space="preserve">сосед с площадки</t>
  </si>
  <si>
    <t xml:space="preserve">dog park</t>
  </si>
  <si>
    <t xml:space="preserve">6</t>
  </si>
  <si>
    <t xml:space="preserve">его собака, погода</t>
  </si>
  <si>
    <t xml:space="preserve">не смог сказать «поводок» — обошёл через to</t>
  </si>
  <si>
    <t xml:space="preserve">Строка 5 — пример, сотри её. «В компании» = поляков двое и больше и они говорят между собой. Начиная со второго круга — минимум один такой на каждые пять дней.</t>
  </si>
  <si>
    <t xml:space="preserve">Пять единиц в день</t>
  </si>
  <si>
    <t xml:space="preserve">Единица — не слово, а кусок речи целиком: не brakować, а brakuje mi czasu. Два из провалов, два из просмотра, одно из грамматики дня.</t>
  </si>
  <si>
    <t xml:space="preserve">Источник</t>
  </si>
  <si>
    <t xml:space="preserve">Что хотел сказать (RU)</t>
  </si>
  <si>
    <t xml:space="preserve">Чем обошёлся</t>
  </si>
  <si>
    <t xml:space="preserve">Единица (PL)</t>
  </si>
  <si>
    <t xml:space="preserve">Фраза, которую скажу</t>
  </si>
  <si>
    <t xml:space="preserve">Сказал вслух</t>
  </si>
  <si>
    <t xml:space="preserve">2</t>
  </si>
  <si>
    <t xml:space="preserve">02.10.2026</t>
  </si>
  <si>
    <t xml:space="preserve">провал</t>
  </si>
  <si>
    <t xml:space="preserve">проснулся</t>
  </si>
  <si>
    <t xml:space="preserve">встал → wstał</t>
  </si>
  <si>
    <t xml:space="preserve">obudzić się</t>
  </si>
  <si>
    <t xml:space="preserve">Rocky obudził się wcześnie.</t>
  </si>
  <si>
    <t xml:space="preserve">Строка 5 — пример, сотри её. Единица без галочки «сказал вслух» не выучена. В дни замеров и сборки новых единиц может не быть вовсе — это не пропуск.</t>
  </si>
  <si>
    <t xml:space="preserve">Три замера</t>
  </si>
  <si>
    <t xml:space="preserve">Две части подряд, на диктофон. Первая даёт сравнимость, вторая показывает перенос навыка.</t>
  </si>
  <si>
    <t xml:space="preserve">Замер</t>
  </si>
  <si>
    <t xml:space="preserve">Досказал 3 мин ×3</t>
  </si>
  <si>
    <t xml:space="preserve">Случайная тема: 90 сек целиком</t>
  </si>
  <si>
    <t xml:space="preserve">Остановок в случайной</t>
  </si>
  <si>
    <t xml:space="preserve">Что мешало больше всего</t>
  </si>
  <si>
    <t xml:space="preserve">Нулевой</t>
  </si>
  <si>
    <t xml:space="preserve">Средний</t>
  </si>
  <si>
    <t xml:space="preserve">Финальный</t>
  </si>
  <si>
    <t xml:space="preserve">Сдвиг между днём 1 и днём 40</t>
  </si>
  <si>
    <t xml:space="preserve">Остановок стало меньше на:</t>
  </si>
  <si>
    <t xml:space="preserve">Связный кусок вырос на, сек:</t>
  </si>
  <si>
    <t xml:space="preserve">Остановок на случайной теме меньше на:</t>
  </si>
  <si>
    <t xml:space="preserve">Цель дня 40: остановок вдвое меньше, чем в дне 1, связный кусок от 40 секунд, обе части досказаны целиком.</t>
  </si>
  <si>
    <t xml:space="preserve">Сквозные ошибки</t>
  </si>
  <si>
    <t xml:space="preserve">Перечитывать перед каждой сессией. Ставь счётчик за круг — сколько раз поймал себя. Падение цифры и есть прогресс.</t>
  </si>
  <si>
    <t xml:space="preserve">№</t>
  </si>
  <si>
    <t xml:space="preserve">Ошибка</t>
  </si>
  <si>
    <t xml:space="preserve">Круг 1</t>
  </si>
  <si>
    <t xml:space="preserve">Круг 2</t>
  </si>
  <si>
    <t xml:space="preserve">Круг 3</t>
  </si>
  <si>
    <t xml:space="preserve">Круг 4</t>
  </si>
  <si>
    <t xml:space="preserve">Круг 5</t>
  </si>
  <si>
    <t xml:space="preserve">Круг 6</t>
  </si>
  <si>
    <t xml:space="preserve">Круг 7</t>
  </si>
  <si>
    <t xml:space="preserve">Круг 8</t>
  </si>
  <si>
    <t xml:space="preserve">Всего</t>
  </si>
  <si>
    <t xml:space="preserve">Пропуск связки jest / są / jestem там, где русская фраза без глагола</t>
  </si>
  <si>
    <t xml:space="preserve">Именительный у существительного в роли после być: jestem programista (прилагательное — именительный)</t>
  </si>
  <si>
    <t xml:space="preserve">Окончание -e в miejscownik по умолчанию, без проверки на -u и -i/-y</t>
  </si>
  <si>
    <t xml:space="preserve">przy не в активе, подменяется на koło / obok</t>
  </si>
  <si>
    <t xml:space="preserve">-ał вместо -eli во множественном прошедшем: mialiśmy вместо mieliśmy</t>
  </si>
  <si>
    <t xml:space="preserve">Подмена незнакомого слова знакомым — прячет реальный пробел</t>
  </si>
  <si>
    <t xml:space="preserve">Откат к русской модели на фонетически похожих словах</t>
  </si>
  <si>
    <t xml:space="preserve">Расширение правила отрицания за пределы винительного: nie pomagam sąsiada</t>
  </si>
  <si>
    <t xml:space="preserve">Пропуск диакритики при верной грамматике</t>
  </si>
  <si>
    <t xml:space="preserve">Зависание при поиске слова дольше двух секунд</t>
  </si>
  <si>
    <t>że и kiedy</t>
  </si>
  <si>
    <t>że выходит без сборки; kiedy работает и в вопросе, и в придаточном</t>
  </si>
  <si>
    <t>Żeby, który и союзы</t>
  </si>
  <si>
    <t>Ни одной фразы короче двух частей; żeby с окончанием на союзе; описание через który</t>
  </si>
  <si>
    <t>Daj mu wodę: у dać получатель в Celowniku</t>
  </si>
  <si>
    <t>встал / wstałem</t>
  </si>
  <si>
    <t>obudziłem się</t>
  </si>
  <si>
    <t>Obudziłem się dziś bardzo wcześnie.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</si>
</sst>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4D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1F3A4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1F3A4D"/>
      <name val="Arial"/>
      <family val="0"/>
      <charset val="1"/>
    </font>
    <font>
      <b val="true"/>
      <sz val="14"/>
      <color rgb="FF1F3A4D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99999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FFF6D8"/>
        <bgColor rgb="FFFBE9E6"/>
      </patternFill>
    </fill>
    <fill>
      <patternFill patternType="solid">
        <fgColor rgb="FFEAF0F4"/>
        <bgColor rgb="FFFBE9E6"/>
      </patternFill>
    </fill>
    <fill>
      <patternFill patternType="solid">
        <fgColor rgb="FFFBE9E6"/>
        <bgColor rgb="FFFFF6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4D"/>
          <bgColor rgb="FF000000"/>
        </patternFill>
      </fill>
    </dxf>
    <dxf>
      <fill>
        <patternFill patternType="solid">
          <fgColor rgb="FFEAF0F4"/>
          <bgColor rgb="FF000000"/>
        </patternFill>
      </fill>
    </dxf>
    <dxf>
      <fill>
        <patternFill patternType="solid">
          <fgColor rgb="FFFBE9E6"/>
          <bgColor rgb="FF000000"/>
        </patternFill>
      </fill>
    </dxf>
    <dxf>
      <fill>
        <patternFill patternType="solid">
          <fgColor rgb="FFFFF6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8"/>
      <rgbColor rgb="FFEAF0F4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  <col collapsed="false" customWidth="true" hidden="false" outlineLevel="0" max="6" min="5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  <c r="B4" s="4"/>
      <c r="C4" s="4"/>
      <c r="D4" s="4"/>
      <c r="E4" s="4"/>
      <c r="F4" s="4"/>
    </row>
    <row r="5" customFormat="false" ht="24.45" hidden="false" customHeight="false" outlineLevel="0" collapsed="false">
      <c r="A5" s="5" t="s">
        <v>3</v>
      </c>
      <c r="B5" s="6" t="n">
        <f aca="false">COUNTIF(Дни!J5:J44,"✓")</f>
        <v>0</v>
      </c>
    </row>
    <row r="6" customFormat="false" ht="15" hidden="false" customHeight="false" outlineLevel="0" collapsed="false">
      <c r="A6" s="5" t="s">
        <v>4</v>
      </c>
      <c r="B6" s="7" t="n">
        <f aca="false">COUNTIF(Дни!J5:J44,"✓")/40</f>
        <v>0</v>
      </c>
    </row>
    <row r="7" customFormat="false" ht="15" hidden="false" customHeight="false" outlineLevel="0" collapsed="false">
      <c r="A7" s="5" t="s">
        <v>5</v>
      </c>
      <c r="B7" s="8" t="n">
        <f aca="false">COUNTIF(Дни!L5:L44,"✓")</f>
        <v>0</v>
      </c>
    </row>
    <row r="8" customFormat="false" ht="15" hidden="false" customHeight="false" outlineLevel="0" collapsed="false">
      <c r="A8" s="5" t="s">
        <v>6</v>
      </c>
      <c r="B8" s="8" t="n">
        <f aca="false">COUNTIF(Дни!M5:M44,"✓")</f>
        <v>0</v>
      </c>
    </row>
    <row r="9" customFormat="false" ht="15" hidden="false" customHeight="false" outlineLevel="0" collapsed="false">
      <c r="A9" s="5" t="s">
        <v>7</v>
      </c>
      <c r="B9" s="8" t="n">
        <f aca="false">COUNTIF(Дни!F5:F44,"полный")</f>
        <v>0</v>
      </c>
      <c r="C9" s="8" t="n">
        <f aca="false">COUNTIF(Дни!F5:F44,"мини")</f>
        <v>0</v>
      </c>
    </row>
    <row r="11" customFormat="false" ht="19.5" hidden="false" customHeight="true" outlineLevel="0" collapsed="false">
      <c r="A11" s="3" t="s">
        <v>8</v>
      </c>
      <c r="B11" s="4"/>
      <c r="C11" s="4"/>
      <c r="D11" s="4"/>
      <c r="E11" s="4"/>
      <c r="F11" s="4"/>
    </row>
    <row r="12" customFormat="false" ht="24.45" hidden="false" customHeight="false" outlineLevel="0" collapsed="false">
      <c r="A12" s="5" t="s">
        <v>9</v>
      </c>
      <c r="B12" s="6" t="n">
        <f aca="false">COUNTA(Разговоры!A6:A85)</f>
        <v>0</v>
      </c>
    </row>
    <row r="13" customFormat="false" ht="15" hidden="false" customHeight="false" outlineLevel="0" collapsed="false">
      <c r="A13" s="5" t="s">
        <v>10</v>
      </c>
      <c r="B13" s="8" t="n">
        <f aca="false">SUM(Разговоры!D6:D85)</f>
        <v>0</v>
      </c>
    </row>
    <row r="14" customFormat="false" ht="15" hidden="false" customHeight="false" outlineLevel="0" collapsed="false">
      <c r="A14" s="5" t="s">
        <v>11</v>
      </c>
      <c r="B14" s="9" t="str">
        <f aca="false">IFERROR(AVERAGE(Разговоры!D6:D85),"")</f>
        <v/>
      </c>
    </row>
    <row r="15" customFormat="false" ht="15" hidden="false" customHeight="false" outlineLevel="0" collapsed="false">
      <c r="A15" s="5" t="s">
        <v>12</v>
      </c>
      <c r="B15" s="8" t="n">
        <f aca="false">IFERROR(MAX(Разговоры!D6:D85),"")</f>
        <v>0</v>
      </c>
    </row>
    <row r="16" customFormat="false" ht="15" hidden="false" customHeight="false" outlineLevel="0" collapsed="false">
      <c r="A16" s="5" t="s">
        <v>13</v>
      </c>
      <c r="B16" s="8" t="n">
        <f aca="false">COUNTIF(Разговоры!F6:F85,"✓")</f>
        <v>0</v>
      </c>
    </row>
    <row r="17" customFormat="false" ht="15" hidden="false" customHeight="false" outlineLevel="0" collapsed="false">
      <c r="A17" s="5" t="s">
        <v>14</v>
      </c>
      <c r="B17" s="8" t="n">
        <f aca="false">COUNTIF(Разговоры!G6:G85,"✓")</f>
        <v>0</v>
      </c>
    </row>
    <row r="18" customFormat="false" ht="15" hidden="false" customHeight="false" outlineLevel="0" collapsed="false">
      <c r="A18" s="5" t="s">
        <v>15</v>
      </c>
      <c r="B18" s="8" t="n">
        <f aca="false">COUNTIF(Разговоры!H6:H85,"✓")</f>
        <v>0</v>
      </c>
    </row>
    <row r="19" customFormat="false" ht="15" hidden="false" customHeight="false" outlineLevel="0" collapsed="false">
      <c r="A19" s="2" t="s">
        <v>16</v>
      </c>
    </row>
    <row r="21" customFormat="false" ht="19.5" hidden="false" customHeight="true" outlineLevel="0" collapsed="false">
      <c r="A21" s="3" t="s">
        <v>17</v>
      </c>
      <c r="B21" s="4"/>
      <c r="C21" s="4"/>
      <c r="D21" s="4"/>
      <c r="E21" s="4"/>
      <c r="F21" s="4"/>
    </row>
    <row r="22" customFormat="false" ht="15" hidden="false" customHeight="false" outlineLevel="0" collapsed="false">
      <c r="A22" s="5" t="s">
        <v>18</v>
      </c>
      <c r="B22" s="8" t="n">
        <f aca="false">COUNTA(Единицы!F6:F205)</f>
        <v>0</v>
      </c>
    </row>
    <row r="23" customFormat="false" ht="15" hidden="false" customHeight="false" outlineLevel="0" collapsed="false">
      <c r="A23" s="5" t="s">
        <v>19</v>
      </c>
      <c r="B23" s="8" t="n">
        <f aca="false">COUNTIF(Единицы!H6:H205,"✓")</f>
        <v>0</v>
      </c>
    </row>
    <row r="24" customFormat="false" ht="15" hidden="false" customHeight="false" outlineLevel="0" collapsed="false">
      <c r="A24" s="5" t="s">
        <v>20</v>
      </c>
      <c r="B24" s="7" t="str">
        <f aca="false">IFERROR(COUNTIF(Единицы!H6:H205,"✓")/COUNTA(Единицы!F6:F205),"")</f>
        <v/>
      </c>
    </row>
    <row r="25" customFormat="false" ht="15" hidden="false" customHeight="false" outlineLevel="0" collapsed="false">
      <c r="A25" s="5" t="s">
        <v>21</v>
      </c>
      <c r="B25" s="8" t="n">
        <f aca="false">COUNTIF(Единицы!C6:C205,"провал")</f>
        <v>0</v>
      </c>
    </row>
    <row r="27" customFormat="false" ht="19.5" hidden="false" customHeight="true" outlineLevel="0" collapsed="false">
      <c r="A27" s="3" t="s">
        <v>22</v>
      </c>
      <c r="B27" s="10" t="s">
        <v>23</v>
      </c>
      <c r="C27" s="10" t="s">
        <v>24</v>
      </c>
      <c r="D27" s="10" t="s">
        <v>25</v>
      </c>
      <c r="E27" s="4"/>
      <c r="F27" s="4"/>
    </row>
    <row r="28" customFormat="false" ht="15" hidden="false" customHeight="false" outlineLevel="0" collapsed="false">
      <c r="A28" s="5" t="s">
        <v>26</v>
      </c>
      <c r="B28" s="8" t="str">
        <f aca="false">IF(Замеры!D5="","",Замеры!D5)</f>
        <v/>
      </c>
      <c r="C28" s="8" t="str">
        <f aca="false">IF(Замеры!D6="","",Замеры!D6)</f>
        <v/>
      </c>
      <c r="D28" s="8" t="str">
        <f aca="false">IF(Замеры!D7="","",Замеры!D7)</f>
        <v/>
      </c>
    </row>
    <row r="29" customFormat="false" ht="15" hidden="false" customHeight="false" outlineLevel="0" collapsed="false">
      <c r="A29" s="5" t="s">
        <v>27</v>
      </c>
      <c r="B29" s="8" t="str">
        <f aca="false">IF(Замеры!E5="","",Замеры!E5)</f>
        <v/>
      </c>
      <c r="C29" s="8" t="str">
        <f aca="false">IF(Замеры!E6="","",Замеры!E6)</f>
        <v/>
      </c>
      <c r="D29" s="8" t="str">
        <f aca="false">IF(Замеры!E7="","",Замеры!E7)</f>
        <v/>
      </c>
    </row>
    <row r="30" customFormat="false" ht="15" hidden="false" customHeight="false" outlineLevel="0" collapsed="false">
      <c r="A30" s="5" t="s">
        <v>28</v>
      </c>
      <c r="B30" s="8" t="str">
        <f aca="false">IF(Замеры!H5="","",Замеры!H5)</f>
        <v/>
      </c>
      <c r="C30" s="8" t="str">
        <f aca="false">IF(Замеры!H6="","",Замеры!H6)</f>
        <v/>
      </c>
      <c r="D30" s="8" t="str">
        <f aca="false">IF(Замеры!H7="","",Замеры!H7)</f>
        <v/>
      </c>
    </row>
    <row r="32" customFormat="false" ht="19.5" hidden="false" customHeight="true" outlineLevel="0" collapsed="false">
      <c r="A32" s="3" t="s">
        <v>29</v>
      </c>
      <c r="B32" s="4"/>
      <c r="C32" s="4"/>
      <c r="D32" s="4"/>
      <c r="E32" s="4"/>
      <c r="F32" s="4"/>
    </row>
    <row r="33" customFormat="false" ht="15" hidden="false" customHeight="false" outlineLevel="0" collapsed="false">
      <c r="A33" s="5" t="s">
        <v>30</v>
      </c>
      <c r="B33" s="8" t="str">
        <f aca="false">IF(COUNT(Ошибки!C5:J14)=0,"",SUM(Ошибки!C5:J14))</f>
        <v/>
      </c>
    </row>
    <row r="34" customFormat="false" ht="15" hidden="false" customHeight="false" outlineLevel="0" collapsed="false">
      <c r="A34" s="5" t="s">
        <v>31</v>
      </c>
      <c r="B34" s="8" t="str">
        <f aca="false">IF(COUNT(Ошибки!C5:C14)=0,"",SUM(Ошибки!C5:C14))</f>
        <v/>
      </c>
      <c r="C34" s="8" t="str">
        <f aca="false">IF(COUNT(Ошибки!J5:J14)=0,"",SUM(Ошибки!J5:J14))</f>
        <v/>
      </c>
    </row>
    <row r="36" customFormat="false" ht="15" hidden="false" customHeight="false" outlineLevel="0" collapsed="false">
      <c r="A36" s="11" t="s">
        <v>32</v>
      </c>
    </row>
    <row r="38" customFormat="false" ht="15" hidden="false" customHeight="false" outlineLevel="0" collapsed="false">
      <c r="A38" s="12" t="s">
        <v>33</v>
      </c>
    </row>
    <row r="39" customFormat="false" ht="15" hidden="false" customHeight="false" outlineLevel="0" collapsed="false">
      <c r="A39" s="5" t="s">
        <v>34</v>
      </c>
    </row>
    <row r="40" customFormat="false" ht="15" hidden="false" customHeight="false" outlineLevel="0" collapsed="false">
      <c r="A40" s="5" t="s">
        <v>35</v>
      </c>
    </row>
    <row r="41" customFormat="false" ht="15" hidden="false" customHeight="false" outlineLevel="0" collapsed="false">
      <c r="A41" s="5" t="s">
        <v>36</v>
      </c>
    </row>
    <row r="42" customFormat="false" ht="15" hidden="false" customHeight="false" outlineLevel="0" collapsed="false">
      <c r="A42" s="5" t="s">
        <v>37</v>
      </c>
    </row>
    <row r="43" customFormat="false" ht="15" hidden="false" customHeight="false" outlineLevel="0" collapsed="false">
      <c r="A43" s="5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9"/>
    <col collapsed="false" customWidth="true" hidden="false" outlineLevel="0" max="3" min="3" style="0" width="32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40"/>
  </cols>
  <sheetData>
    <row r="1" customFormat="false" ht="17.35" hidden="false" customHeight="false" outlineLevel="0" collapsed="false">
      <c r="A1" s="13" t="s">
        <v>39</v>
      </c>
    </row>
    <row r="2" customFormat="false" ht="15" hidden="false" customHeight="false" outlineLevel="0" collapsed="false">
      <c r="A2" s="2" t="s">
        <v>40</v>
      </c>
    </row>
    <row r="4" customFormat="false" ht="31.5" hidden="false" customHeight="true" outlineLevel="0" collapsed="false">
      <c r="A4" s="14" t="s">
        <v>41</v>
      </c>
      <c r="B4" s="14" t="s">
        <v>42</v>
      </c>
      <c r="C4" s="14" t="s">
        <v>43</v>
      </c>
      <c r="D4" s="14" t="s">
        <v>44</v>
      </c>
      <c r="E4" s="14" t="s">
        <v>45</v>
      </c>
      <c r="F4" s="14" t="s">
        <v>46</v>
      </c>
      <c r="G4" s="14" t="s">
        <v>47</v>
      </c>
      <c r="H4" s="14" t="s">
        <v>48</v>
      </c>
      <c r="I4" s="14" t="s">
        <v>49</v>
      </c>
      <c r="J4" s="14" t="s">
        <v>50</v>
      </c>
      <c r="K4" s="14" t="s">
        <v>51</v>
      </c>
      <c r="L4" s="14" t="s">
        <v>52</v>
      </c>
      <c r="M4" s="14" t="s">
        <v>53</v>
      </c>
      <c r="N4" s="14" t="s">
        <v>54</v>
      </c>
    </row>
    <row r="5" customFormat="false" ht="30" hidden="false" customHeight="true" outlineLevel="0" collapsed="false">
      <c r="A5" s="15" t="n">
        <v>1</v>
      </c>
      <c r="B5" s="16" t="s">
        <v>55</v>
      </c>
      <c r="C5" s="17" t="s">
        <v>56</v>
      </c>
      <c r="D5" s="18" t="s">
        <v>57</v>
      </c>
      <c r="E5" s="19"/>
      <c r="F5" s="19"/>
      <c r="G5" s="19"/>
      <c r="H5" s="19"/>
      <c r="I5" s="19"/>
      <c r="J5" s="19"/>
      <c r="K5" s="19"/>
      <c r="L5" s="19"/>
      <c r="M5" s="19"/>
      <c r="N5" s="18"/>
    </row>
    <row r="6" customFormat="false" ht="30" hidden="false" customHeight="true" outlineLevel="0" collapsed="false">
      <c r="A6" s="20" t="n">
        <v>2</v>
      </c>
      <c r="B6" s="21" t="s">
        <v>55</v>
      </c>
      <c r="C6" s="22" t="s">
        <v>58</v>
      </c>
      <c r="D6" s="22" t="s">
        <v>59</v>
      </c>
      <c r="E6" s="23"/>
      <c r="F6" s="23"/>
      <c r="G6" s="23"/>
      <c r="H6" s="23"/>
      <c r="I6" s="23"/>
      <c r="J6" s="23"/>
      <c r="K6" s="23"/>
      <c r="L6" s="23"/>
      <c r="M6" s="23"/>
      <c r="N6" s="22"/>
    </row>
    <row r="7" customFormat="false" ht="30" hidden="false" customHeight="true" outlineLevel="0" collapsed="false">
      <c r="A7" s="20" t="n">
        <v>3</v>
      </c>
      <c r="B7" s="21" t="s">
        <v>55</v>
      </c>
      <c r="C7" s="22" t="s">
        <v>60</v>
      </c>
      <c r="D7" s="22" t="s">
        <v>61</v>
      </c>
      <c r="E7" s="23"/>
      <c r="F7" s="23"/>
      <c r="G7" s="23"/>
      <c r="H7" s="23"/>
      <c r="I7" s="23"/>
      <c r="J7" s="23"/>
      <c r="K7" s="23"/>
      <c r="L7" s="23"/>
      <c r="M7" s="23"/>
      <c r="N7" s="22"/>
    </row>
    <row r="8" customFormat="false" ht="30" hidden="false" customHeight="true" outlineLevel="0" collapsed="false">
      <c r="A8" s="20" t="n">
        <v>4</v>
      </c>
      <c r="B8" s="21" t="s">
        <v>55</v>
      </c>
      <c r="C8" s="22" t="s">
        <v>62</v>
      </c>
      <c r="D8" s="22" t="s">
        <v>63</v>
      </c>
      <c r="E8" s="23"/>
      <c r="F8" s="23"/>
      <c r="G8" s="23"/>
      <c r="H8" s="23"/>
      <c r="I8" s="23"/>
      <c r="J8" s="23"/>
      <c r="K8" s="23"/>
      <c r="L8" s="23"/>
      <c r="M8" s="23"/>
      <c r="N8" s="22"/>
    </row>
    <row r="9" customFormat="false" ht="30" hidden="false" customHeight="true" outlineLevel="0" collapsed="false">
      <c r="A9" s="20" t="n">
        <v>5</v>
      </c>
      <c r="B9" s="21" t="s">
        <v>55</v>
      </c>
      <c r="C9" s="22" t="s">
        <v>64</v>
      </c>
      <c r="D9" s="22" t="s">
        <v>65</v>
      </c>
      <c r="E9" s="23"/>
      <c r="F9" s="23"/>
      <c r="G9" s="23"/>
      <c r="H9" s="23"/>
      <c r="I9" s="23"/>
      <c r="J9" s="23"/>
      <c r="K9" s="23"/>
      <c r="L9" s="23"/>
      <c r="M9" s="23"/>
      <c r="N9" s="22"/>
    </row>
    <row r="10" customFormat="false" ht="30" hidden="false" customHeight="true" outlineLevel="0" collapsed="false">
      <c r="A10" s="24" t="n">
        <v>6</v>
      </c>
      <c r="B10" s="25" t="s">
        <v>66</v>
      </c>
      <c r="C10" s="26" t="s">
        <v>67</v>
      </c>
      <c r="D10" s="26" t="s">
        <v>68</v>
      </c>
      <c r="E10" s="27"/>
      <c r="F10" s="27"/>
      <c r="G10" s="27"/>
      <c r="H10" s="27"/>
      <c r="I10" s="27"/>
      <c r="J10" s="27"/>
      <c r="K10" s="27"/>
      <c r="L10" s="27"/>
      <c r="M10" s="27"/>
      <c r="N10" s="26"/>
    </row>
    <row r="11" customFormat="false" ht="30" hidden="false" customHeight="true" outlineLevel="0" collapsed="false">
      <c r="A11" s="24" t="n">
        <v>7</v>
      </c>
      <c r="B11" s="25" t="s">
        <v>66</v>
      </c>
      <c r="C11" s="26" t="s">
        <v>69</v>
      </c>
      <c r="D11" s="26" t="s">
        <v>70</v>
      </c>
      <c r="E11" s="27"/>
      <c r="F11" s="27"/>
      <c r="G11" s="27"/>
      <c r="H11" s="27"/>
      <c r="I11" s="27"/>
      <c r="J11" s="27"/>
      <c r="K11" s="27"/>
      <c r="L11" s="27"/>
      <c r="M11" s="27"/>
      <c r="N11" s="26"/>
    </row>
    <row r="12" customFormat="false" ht="30" hidden="false" customHeight="true" outlineLevel="0" collapsed="false">
      <c r="A12" s="24" t="n">
        <v>8</v>
      </c>
      <c r="B12" s="25" t="s">
        <v>66</v>
      </c>
      <c r="C12" s="26" t="s">
        <v>71</v>
      </c>
      <c r="D12" s="26" t="s">
        <v>218</v>
      </c>
      <c r="E12" s="27"/>
      <c r="F12" s="27"/>
      <c r="G12" s="27"/>
      <c r="H12" s="27"/>
      <c r="I12" s="27"/>
      <c r="J12" s="27"/>
      <c r="K12" s="27"/>
      <c r="L12" s="27"/>
      <c r="M12" s="27"/>
      <c r="N12" s="26"/>
    </row>
    <row r="13" customFormat="false" ht="30" hidden="false" customHeight="true" outlineLevel="0" collapsed="false">
      <c r="A13" s="24" t="n">
        <v>9</v>
      </c>
      <c r="B13" s="25" t="s">
        <v>66</v>
      </c>
      <c r="C13" s="26" t="s">
        <v>73</v>
      </c>
      <c r="D13" s="26" t="s">
        <v>74</v>
      </c>
      <c r="E13" s="27"/>
      <c r="F13" s="27"/>
      <c r="G13" s="27"/>
      <c r="H13" s="27"/>
      <c r="I13" s="27"/>
      <c r="J13" s="27"/>
      <c r="K13" s="27"/>
      <c r="L13" s="27"/>
      <c r="M13" s="27"/>
      <c r="N13" s="26"/>
    </row>
    <row r="14" customFormat="false" ht="30" hidden="false" customHeight="true" outlineLevel="0" collapsed="false">
      <c r="A14" s="28" t="n">
        <v>10</v>
      </c>
      <c r="B14" s="29" t="s">
        <v>66</v>
      </c>
      <c r="C14" s="30" t="s">
        <v>75</v>
      </c>
      <c r="D14" s="31" t="s">
        <v>76</v>
      </c>
      <c r="E14" s="32"/>
      <c r="F14" s="32"/>
      <c r="G14" s="32"/>
      <c r="H14" s="32"/>
      <c r="I14" s="32"/>
      <c r="J14" s="32"/>
      <c r="K14" s="32"/>
      <c r="L14" s="32"/>
      <c r="M14" s="32"/>
      <c r="N14" s="31"/>
    </row>
    <row r="15" customFormat="false" ht="30" hidden="false" customHeight="true" outlineLevel="0" collapsed="false">
      <c r="A15" s="20" t="n">
        <v>11</v>
      </c>
      <c r="B15" s="21" t="s">
        <v>77</v>
      </c>
      <c r="C15" s="22" t="s">
        <v>78</v>
      </c>
      <c r="D15" s="22" t="s">
        <v>79</v>
      </c>
      <c r="E15" s="23"/>
      <c r="F15" s="23"/>
      <c r="G15" s="23"/>
      <c r="H15" s="23"/>
      <c r="I15" s="23"/>
      <c r="J15" s="23"/>
      <c r="K15" s="23"/>
      <c r="L15" s="23"/>
      <c r="M15" s="23"/>
      <c r="N15" s="22"/>
    </row>
    <row r="16" customFormat="false" ht="30" hidden="false" customHeight="true" outlineLevel="0" collapsed="false">
      <c r="A16" s="20" t="n">
        <v>12</v>
      </c>
      <c r="B16" s="21" t="s">
        <v>77</v>
      </c>
      <c r="C16" s="22" t="s">
        <v>80</v>
      </c>
      <c r="D16" s="22" t="s">
        <v>81</v>
      </c>
      <c r="E16" s="23"/>
      <c r="F16" s="23"/>
      <c r="G16" s="23"/>
      <c r="H16" s="23"/>
      <c r="I16" s="23"/>
      <c r="J16" s="23"/>
      <c r="K16" s="23"/>
      <c r="L16" s="23"/>
      <c r="M16" s="23"/>
      <c r="N16" s="22"/>
    </row>
    <row r="17" customFormat="false" ht="30" hidden="false" customHeight="true" outlineLevel="0" collapsed="false">
      <c r="A17" s="20" t="n">
        <v>13</v>
      </c>
      <c r="B17" s="21" t="s">
        <v>77</v>
      </c>
      <c r="C17" s="22" t="s">
        <v>82</v>
      </c>
      <c r="D17" s="22" t="s">
        <v>83</v>
      </c>
      <c r="E17" s="23"/>
      <c r="F17" s="23"/>
      <c r="G17" s="23"/>
      <c r="H17" s="23"/>
      <c r="I17" s="23"/>
      <c r="J17" s="23"/>
      <c r="K17" s="23"/>
      <c r="L17" s="23"/>
      <c r="M17" s="23"/>
      <c r="N17" s="22"/>
    </row>
    <row r="18" customFormat="false" ht="30" hidden="false" customHeight="true" outlineLevel="0" collapsed="false">
      <c r="A18" s="20" t="n">
        <v>14</v>
      </c>
      <c r="B18" s="21" t="s">
        <v>77</v>
      </c>
      <c r="C18" s="22" t="s">
        <v>84</v>
      </c>
      <c r="D18" s="22" t="s">
        <v>85</v>
      </c>
      <c r="E18" s="23"/>
      <c r="F18" s="23"/>
      <c r="G18" s="23"/>
      <c r="H18" s="23"/>
      <c r="I18" s="23"/>
      <c r="J18" s="23"/>
      <c r="K18" s="23"/>
      <c r="L18" s="23"/>
      <c r="M18" s="23"/>
      <c r="N18" s="22"/>
    </row>
    <row r="19" customFormat="false" ht="30" hidden="false" customHeight="true" outlineLevel="0" collapsed="false">
      <c r="A19" s="20" t="n">
        <v>15</v>
      </c>
      <c r="B19" s="21" t="s">
        <v>77</v>
      </c>
      <c r="C19" s="22" t="s">
        <v>86</v>
      </c>
      <c r="D19" s="22" t="s">
        <v>87</v>
      </c>
      <c r="E19" s="23"/>
      <c r="F19" s="23"/>
      <c r="G19" s="23"/>
      <c r="H19" s="23"/>
      <c r="I19" s="23"/>
      <c r="J19" s="23"/>
      <c r="K19" s="23"/>
      <c r="L19" s="23"/>
      <c r="M19" s="23"/>
      <c r="N19" s="22"/>
    </row>
    <row r="20" customFormat="false" ht="30" hidden="false" customHeight="true" outlineLevel="0" collapsed="false">
      <c r="A20" s="24" t="n">
        <v>16</v>
      </c>
      <c r="B20" s="25" t="s">
        <v>88</v>
      </c>
      <c r="C20" s="26" t="s">
        <v>89</v>
      </c>
      <c r="D20" s="26" t="s">
        <v>90</v>
      </c>
      <c r="E20" s="27"/>
      <c r="F20" s="27"/>
      <c r="G20" s="27"/>
      <c r="H20" s="27"/>
      <c r="I20" s="27"/>
      <c r="J20" s="27"/>
      <c r="K20" s="27"/>
      <c r="L20" s="27"/>
      <c r="M20" s="27"/>
      <c r="N20" s="26"/>
    </row>
    <row r="21" customFormat="false" ht="30" hidden="false" customHeight="true" outlineLevel="0" collapsed="false">
      <c r="A21" s="24" t="n">
        <v>17</v>
      </c>
      <c r="B21" s="25" t="s">
        <v>88</v>
      </c>
      <c r="C21" s="26" t="s">
        <v>91</v>
      </c>
      <c r="D21" s="26" t="s">
        <v>92</v>
      </c>
      <c r="E21" s="27"/>
      <c r="F21" s="27"/>
      <c r="G21" s="27"/>
      <c r="H21" s="27"/>
      <c r="I21" s="27"/>
      <c r="J21" s="27"/>
      <c r="K21" s="27"/>
      <c r="L21" s="27"/>
      <c r="M21" s="27"/>
      <c r="N21" s="26"/>
    </row>
    <row r="22" customFormat="false" ht="30" hidden="false" customHeight="true" outlineLevel="0" collapsed="false">
      <c r="A22" s="24" t="n">
        <v>18</v>
      </c>
      <c r="B22" s="25" t="s">
        <v>88</v>
      </c>
      <c r="C22" s="26" t="s">
        <v>93</v>
      </c>
      <c r="D22" s="26" t="s">
        <v>94</v>
      </c>
      <c r="E22" s="27"/>
      <c r="F22" s="27"/>
      <c r="G22" s="27"/>
      <c r="H22" s="27"/>
      <c r="I22" s="27"/>
      <c r="J22" s="27"/>
      <c r="K22" s="27"/>
      <c r="L22" s="27"/>
      <c r="M22" s="27"/>
      <c r="N22" s="26"/>
    </row>
    <row r="23" customFormat="false" ht="30" hidden="false" customHeight="true" outlineLevel="0" collapsed="false">
      <c r="A23" s="24" t="n">
        <v>19</v>
      </c>
      <c r="B23" s="25" t="s">
        <v>88</v>
      </c>
      <c r="C23" s="26" t="s">
        <v>95</v>
      </c>
      <c r="D23" s="26" t="s">
        <v>96</v>
      </c>
      <c r="E23" s="27"/>
      <c r="F23" s="27"/>
      <c r="G23" s="27"/>
      <c r="H23" s="27"/>
      <c r="I23" s="27"/>
      <c r="J23" s="27"/>
      <c r="K23" s="27"/>
      <c r="L23" s="27"/>
      <c r="M23" s="27"/>
      <c r="N23" s="26"/>
    </row>
    <row r="24" customFormat="false" ht="30" hidden="false" customHeight="true" outlineLevel="0" collapsed="false">
      <c r="A24" s="15" t="n">
        <v>20</v>
      </c>
      <c r="B24" s="16" t="s">
        <v>88</v>
      </c>
      <c r="C24" s="17" t="s">
        <v>97</v>
      </c>
      <c r="D24" s="18" t="s">
        <v>98</v>
      </c>
      <c r="E24" s="19"/>
      <c r="F24" s="19"/>
      <c r="G24" s="19"/>
      <c r="H24" s="19"/>
      <c r="I24" s="19"/>
      <c r="J24" s="19"/>
      <c r="K24" s="19"/>
      <c r="L24" s="19"/>
      <c r="M24" s="19"/>
      <c r="N24" s="18"/>
    </row>
    <row r="25" customFormat="false" ht="30" hidden="false" customHeight="true" outlineLevel="0" collapsed="false">
      <c r="A25" s="20" t="n">
        <v>21</v>
      </c>
      <c r="B25" s="21" t="s">
        <v>99</v>
      </c>
      <c r="C25" s="22" t="s">
        <v>100</v>
      </c>
      <c r="D25" s="22" t="s">
        <v>101</v>
      </c>
      <c r="E25" s="23"/>
      <c r="F25" s="23"/>
      <c r="G25" s="23"/>
      <c r="H25" s="23"/>
      <c r="I25" s="23"/>
      <c r="J25" s="23"/>
      <c r="K25" s="23"/>
      <c r="L25" s="23"/>
      <c r="M25" s="23"/>
      <c r="N25" s="22"/>
    </row>
    <row r="26" customFormat="false" ht="30" hidden="false" customHeight="true" outlineLevel="0" collapsed="false">
      <c r="A26" s="20" t="n">
        <v>22</v>
      </c>
      <c r="B26" s="21" t="s">
        <v>99</v>
      </c>
      <c r="C26" s="22" t="s">
        <v>102</v>
      </c>
      <c r="D26" s="22" t="s">
        <v>103</v>
      </c>
      <c r="E26" s="23"/>
      <c r="F26" s="23"/>
      <c r="G26" s="23"/>
      <c r="H26" s="23"/>
      <c r="I26" s="23"/>
      <c r="J26" s="23"/>
      <c r="K26" s="23"/>
      <c r="L26" s="23"/>
      <c r="M26" s="23"/>
      <c r="N26" s="22"/>
    </row>
    <row r="27" customFormat="false" ht="30" hidden="false" customHeight="true" outlineLevel="0" collapsed="false">
      <c r="A27" s="20" t="n">
        <v>23</v>
      </c>
      <c r="B27" s="21" t="s">
        <v>99</v>
      </c>
      <c r="C27" s="22" t="s">
        <v>104</v>
      </c>
      <c r="D27" s="22" t="s">
        <v>105</v>
      </c>
      <c r="E27" s="23"/>
      <c r="F27" s="23"/>
      <c r="G27" s="23"/>
      <c r="H27" s="23"/>
      <c r="I27" s="23"/>
      <c r="J27" s="23"/>
      <c r="K27" s="23"/>
      <c r="L27" s="23"/>
      <c r="M27" s="23"/>
      <c r="N27" s="22"/>
    </row>
    <row r="28" customFormat="false" ht="30" hidden="false" customHeight="true" outlineLevel="0" collapsed="false">
      <c r="A28" s="20" t="n">
        <v>24</v>
      </c>
      <c r="B28" s="21" t="s">
        <v>99</v>
      </c>
      <c r="C28" s="22" t="s">
        <v>106</v>
      </c>
      <c r="D28" s="22" t="s">
        <v>107</v>
      </c>
      <c r="E28" s="23"/>
      <c r="F28" s="23"/>
      <c r="G28" s="23"/>
      <c r="H28" s="23"/>
      <c r="I28" s="23"/>
      <c r="J28" s="23"/>
      <c r="K28" s="23"/>
      <c r="L28" s="23"/>
      <c r="M28" s="23"/>
      <c r="N28" s="22"/>
    </row>
    <row r="29" customFormat="false" ht="30" hidden="false" customHeight="true" outlineLevel="0" collapsed="false">
      <c r="A29" s="28" t="n">
        <v>25</v>
      </c>
      <c r="B29" s="29" t="s">
        <v>99</v>
      </c>
      <c r="C29" s="30" t="s">
        <v>108</v>
      </c>
      <c r="D29" s="31" t="s">
        <v>109</v>
      </c>
      <c r="E29" s="32"/>
      <c r="F29" s="32"/>
      <c r="G29" s="32"/>
      <c r="H29" s="32"/>
      <c r="I29" s="32"/>
      <c r="J29" s="32"/>
      <c r="K29" s="32"/>
      <c r="L29" s="32"/>
      <c r="M29" s="32"/>
      <c r="N29" s="31"/>
    </row>
    <row r="30" customFormat="false" ht="30" hidden="false" customHeight="true" outlineLevel="0" collapsed="false">
      <c r="A30" s="24" t="n">
        <v>26</v>
      </c>
      <c r="B30" s="25" t="s">
        <v>110</v>
      </c>
      <c r="C30" s="26" t="s">
        <v>111</v>
      </c>
      <c r="D30" s="26" t="s">
        <v>112</v>
      </c>
      <c r="E30" s="27"/>
      <c r="F30" s="27"/>
      <c r="G30" s="27"/>
      <c r="H30" s="27"/>
      <c r="I30" s="27"/>
      <c r="J30" s="27"/>
      <c r="K30" s="27"/>
      <c r="L30" s="27"/>
      <c r="M30" s="27"/>
      <c r="N30" s="26"/>
    </row>
    <row r="31" customFormat="false" ht="30" hidden="false" customHeight="true" outlineLevel="0" collapsed="false">
      <c r="A31" s="24" t="n">
        <v>27</v>
      </c>
      <c r="B31" s="25" t="s">
        <v>110</v>
      </c>
      <c r="C31" s="26" t="s">
        <v>113</v>
      </c>
      <c r="D31" s="26" t="s">
        <v>114</v>
      </c>
      <c r="E31" s="27"/>
      <c r="F31" s="27"/>
      <c r="G31" s="27"/>
      <c r="H31" s="27"/>
      <c r="I31" s="27"/>
      <c r="J31" s="27"/>
      <c r="K31" s="27"/>
      <c r="L31" s="27"/>
      <c r="M31" s="27"/>
      <c r="N31" s="26"/>
    </row>
    <row r="32" customFormat="false" ht="30" hidden="false" customHeight="true" outlineLevel="0" collapsed="false">
      <c r="A32" s="24" t="n">
        <v>28</v>
      </c>
      <c r="B32" s="25" t="s">
        <v>110</v>
      </c>
      <c r="C32" s="26" t="s">
        <v>115</v>
      </c>
      <c r="D32" s="26" t="s">
        <v>116</v>
      </c>
      <c r="E32" s="27"/>
      <c r="F32" s="27"/>
      <c r="G32" s="27"/>
      <c r="H32" s="27"/>
      <c r="I32" s="27"/>
      <c r="J32" s="27"/>
      <c r="K32" s="27"/>
      <c r="L32" s="27"/>
      <c r="M32" s="27"/>
      <c r="N32" s="26"/>
    </row>
    <row r="33" customFormat="false" ht="30" hidden="false" customHeight="true" outlineLevel="0" collapsed="false">
      <c r="A33" s="24" t="n">
        <v>29</v>
      </c>
      <c r="B33" s="25" t="s">
        <v>110</v>
      </c>
      <c r="C33" s="26" t="s">
        <v>214</v>
      </c>
      <c r="D33" s="26" t="s">
        <v>215</v>
      </c>
      <c r="E33" s="27"/>
      <c r="F33" s="27"/>
      <c r="G33" s="27"/>
      <c r="H33" s="27"/>
      <c r="I33" s="27"/>
      <c r="J33" s="27"/>
      <c r="K33" s="27"/>
      <c r="L33" s="27"/>
      <c r="M33" s="27"/>
      <c r="N33" s="26"/>
    </row>
    <row r="34" customFormat="false" ht="30" hidden="false" customHeight="true" outlineLevel="0" collapsed="false">
      <c r="A34" s="28" t="n">
        <v>30</v>
      </c>
      <c r="B34" s="29" t="s">
        <v>110</v>
      </c>
      <c r="C34" s="30" t="s">
        <v>119</v>
      </c>
      <c r="D34" s="31" t="s">
        <v>120</v>
      </c>
      <c r="E34" s="32"/>
      <c r="F34" s="32"/>
      <c r="G34" s="32"/>
      <c r="H34" s="32"/>
      <c r="I34" s="32"/>
      <c r="J34" s="32"/>
      <c r="K34" s="32"/>
      <c r="L34" s="32"/>
      <c r="M34" s="32"/>
      <c r="N34" s="31"/>
    </row>
    <row r="35" customFormat="false" ht="30" hidden="false" customHeight="true" outlineLevel="0" collapsed="false">
      <c r="A35" s="20" t="n">
        <v>31</v>
      </c>
      <c r="B35" s="21" t="s">
        <v>121</v>
      </c>
      <c r="C35" s="22" t="s">
        <v>216</v>
      </c>
      <c r="D35" s="22" t="s">
        <v>217</v>
      </c>
      <c r="E35" s="23"/>
      <c r="F35" s="23"/>
      <c r="G35" s="23"/>
      <c r="H35" s="23"/>
      <c r="I35" s="23"/>
      <c r="J35" s="23"/>
      <c r="K35" s="23"/>
      <c r="L35" s="23"/>
      <c r="M35" s="23"/>
      <c r="N35" s="22"/>
    </row>
    <row r="36" customFormat="false" ht="30" hidden="false" customHeight="true" outlineLevel="0" collapsed="false">
      <c r="A36" s="20" t="n">
        <v>32</v>
      </c>
      <c r="B36" s="21" t="s">
        <v>121</v>
      </c>
      <c r="C36" s="22" t="s">
        <v>124</v>
      </c>
      <c r="D36" s="22" t="s">
        <v>125</v>
      </c>
      <c r="E36" s="23"/>
      <c r="F36" s="23"/>
      <c r="G36" s="23"/>
      <c r="H36" s="23"/>
      <c r="I36" s="23"/>
      <c r="J36" s="23"/>
      <c r="K36" s="23"/>
      <c r="L36" s="23"/>
      <c r="M36" s="23"/>
      <c r="N36" s="22"/>
    </row>
    <row r="37" customFormat="false" ht="30" hidden="false" customHeight="true" outlineLevel="0" collapsed="false">
      <c r="A37" s="20" t="n">
        <v>33</v>
      </c>
      <c r="B37" s="21" t="s">
        <v>121</v>
      </c>
      <c r="C37" s="22" t="s">
        <v>126</v>
      </c>
      <c r="D37" s="22" t="s">
        <v>127</v>
      </c>
      <c r="E37" s="23"/>
      <c r="F37" s="23"/>
      <c r="G37" s="23"/>
      <c r="H37" s="23"/>
      <c r="I37" s="23"/>
      <c r="J37" s="23"/>
      <c r="K37" s="23"/>
      <c r="L37" s="23"/>
      <c r="M37" s="23"/>
      <c r="N37" s="22"/>
    </row>
    <row r="38" customFormat="false" ht="30" hidden="false" customHeight="true" outlineLevel="0" collapsed="false">
      <c r="A38" s="20" t="n">
        <v>34</v>
      </c>
      <c r="B38" s="21" t="s">
        <v>121</v>
      </c>
      <c r="C38" s="22" t="s">
        <v>128</v>
      </c>
      <c r="D38" s="22" t="s">
        <v>129</v>
      </c>
      <c r="E38" s="23"/>
      <c r="F38" s="23"/>
      <c r="G38" s="23"/>
      <c r="H38" s="23"/>
      <c r="I38" s="23"/>
      <c r="J38" s="23"/>
      <c r="K38" s="23"/>
      <c r="L38" s="23"/>
      <c r="M38" s="23"/>
      <c r="N38" s="22"/>
    </row>
    <row r="39" customFormat="false" ht="30" hidden="false" customHeight="true" outlineLevel="0" collapsed="false">
      <c r="A39" s="20" t="n">
        <v>35</v>
      </c>
      <c r="B39" s="21" t="s">
        <v>121</v>
      </c>
      <c r="C39" s="22" t="s">
        <v>130</v>
      </c>
      <c r="D39" s="22" t="s">
        <v>131</v>
      </c>
      <c r="E39" s="23"/>
      <c r="F39" s="23"/>
      <c r="G39" s="23"/>
      <c r="H39" s="23"/>
      <c r="I39" s="23"/>
      <c r="J39" s="23"/>
      <c r="K39" s="23"/>
      <c r="L39" s="23"/>
      <c r="M39" s="23"/>
      <c r="N39" s="22"/>
    </row>
    <row r="40" customFormat="false" ht="30" hidden="false" customHeight="true" outlineLevel="0" collapsed="false">
      <c r="A40" s="24" t="n">
        <v>36</v>
      </c>
      <c r="B40" s="25" t="s">
        <v>132</v>
      </c>
      <c r="C40" s="26" t="s">
        <v>133</v>
      </c>
      <c r="D40" s="26" t="s">
        <v>134</v>
      </c>
      <c r="E40" s="27"/>
      <c r="F40" s="27"/>
      <c r="G40" s="27"/>
      <c r="H40" s="27"/>
      <c r="I40" s="27"/>
      <c r="J40" s="27"/>
      <c r="K40" s="27"/>
      <c r="L40" s="27"/>
      <c r="M40" s="27"/>
      <c r="N40" s="26"/>
    </row>
    <row r="41" customFormat="false" ht="30" hidden="false" customHeight="true" outlineLevel="0" collapsed="false">
      <c r="A41" s="24" t="n">
        <v>37</v>
      </c>
      <c r="B41" s="25" t="s">
        <v>132</v>
      </c>
      <c r="C41" s="26" t="s">
        <v>135</v>
      </c>
      <c r="D41" s="26" t="s">
        <v>136</v>
      </c>
      <c r="E41" s="27"/>
      <c r="F41" s="27"/>
      <c r="G41" s="27"/>
      <c r="H41" s="27"/>
      <c r="I41" s="27"/>
      <c r="J41" s="27"/>
      <c r="K41" s="27"/>
      <c r="L41" s="27"/>
      <c r="M41" s="27"/>
      <c r="N41" s="26"/>
    </row>
    <row r="42" customFormat="false" ht="30" hidden="false" customHeight="true" outlineLevel="0" collapsed="false">
      <c r="A42" s="28" t="n">
        <v>38</v>
      </c>
      <c r="B42" s="29" t="s">
        <v>132</v>
      </c>
      <c r="C42" s="30" t="s">
        <v>137</v>
      </c>
      <c r="D42" s="31" t="s">
        <v>138</v>
      </c>
      <c r="E42" s="32"/>
      <c r="F42" s="32"/>
      <c r="G42" s="32"/>
      <c r="H42" s="32"/>
      <c r="I42" s="32"/>
      <c r="J42" s="32"/>
      <c r="K42" s="32"/>
      <c r="L42" s="32"/>
      <c r="M42" s="32"/>
      <c r="N42" s="31"/>
    </row>
    <row r="43" customFormat="false" ht="30" hidden="false" customHeight="true" outlineLevel="0" collapsed="false">
      <c r="A43" s="28" t="n">
        <v>39</v>
      </c>
      <c r="B43" s="29" t="s">
        <v>132</v>
      </c>
      <c r="C43" s="30" t="s">
        <v>139</v>
      </c>
      <c r="D43" s="31" t="s">
        <v>140</v>
      </c>
      <c r="E43" s="32"/>
      <c r="F43" s="32"/>
      <c r="G43" s="32"/>
      <c r="H43" s="32"/>
      <c r="I43" s="32"/>
      <c r="J43" s="32"/>
      <c r="K43" s="32"/>
      <c r="L43" s="32"/>
      <c r="M43" s="32"/>
      <c r="N43" s="31"/>
    </row>
    <row r="44" customFormat="false" ht="30" hidden="false" customHeight="true" outlineLevel="0" collapsed="false">
      <c r="A44" s="15" t="n">
        <v>40</v>
      </c>
      <c r="B44" s="16" t="s">
        <v>132</v>
      </c>
      <c r="C44" s="17" t="s">
        <v>141</v>
      </c>
      <c r="D44" s="18" t="s">
        <v>142</v>
      </c>
      <c r="E44" s="19"/>
      <c r="F44" s="19"/>
      <c r="G44" s="19"/>
      <c r="H44" s="19"/>
      <c r="I44" s="19"/>
      <c r="J44" s="19"/>
      <c r="K44" s="19"/>
      <c r="L44" s="19"/>
      <c r="M44" s="19"/>
      <c r="N44" s="18"/>
    </row>
    <row r="46" customFormat="false" ht="15" hidden="false" customHeight="false" outlineLevel="0" collapsed="false">
      <c r="A46" s="2" t="s">
        <v>143</v>
      </c>
    </row>
  </sheetData>
  <autoFilter ref="A4:N44"/>
  <dataValidations count="2">
    <dataValidation allowBlank="true" errorStyle="stop" operator="between" showDropDown="false" showErrorMessage="false" showInputMessage="false" sqref="G5:M44" type="list">
      <formula1>"✓"</formula1>
      <formula2>0</formula2>
    </dataValidation>
    <dataValidation allowBlank="true" errorStyle="stop" operator="between" showDropDown="false" showErrorMessage="false" showInputMessage="false" sqref="F5:F44" type="list">
      <formula1>"полный,мини"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3" t="s">
        <v>144</v>
      </c>
    </row>
    <row r="2" customFormat="false" ht="15" hidden="false" customHeight="false" outlineLevel="0" collapsed="false">
      <c r="A2" s="2" t="s">
        <v>145</v>
      </c>
    </row>
    <row r="4" customFormat="false" ht="31.5" hidden="false" customHeight="true" outlineLevel="0" collapsed="false">
      <c r="A4" s="14" t="s">
        <v>45</v>
      </c>
      <c r="B4" s="14" t="s">
        <v>146</v>
      </c>
      <c r="C4" s="14" t="s">
        <v>147</v>
      </c>
      <c r="D4" s="14" t="s">
        <v>148</v>
      </c>
      <c r="E4" s="14" t="s">
        <v>149</v>
      </c>
      <c r="F4" s="14" t="s">
        <v>150</v>
      </c>
      <c r="G4" s="14" t="s">
        <v>151</v>
      </c>
      <c r="H4" s="14" t="s">
        <v>15</v>
      </c>
      <c r="I4" s="14" t="s">
        <v>152</v>
      </c>
    </row>
    <row r="5" customFormat="false" ht="23.85" hidden="false" customHeight="false" outlineLevel="0" collapsed="false">
      <c r="A5" s="33" t="s">
        <v>153</v>
      </c>
      <c r="B5" s="33" t="s">
        <v>154</v>
      </c>
      <c r="C5" s="33" t="s">
        <v>155</v>
      </c>
      <c r="D5" s="33" t="s">
        <v>156</v>
      </c>
      <c r="E5" s="33" t="s">
        <v>157</v>
      </c>
      <c r="F5" s="33"/>
      <c r="G5" s="33"/>
      <c r="H5" s="33"/>
      <c r="I5" s="33" t="s">
        <v>158</v>
      </c>
    </row>
    <row r="6" customFormat="false" ht="15" hidden="false" customHeight="false" outlineLevel="0" collapsed="false">
      <c r="A6" s="23"/>
      <c r="B6" s="23"/>
      <c r="C6" s="23"/>
      <c r="D6" s="23"/>
      <c r="E6" s="34"/>
      <c r="F6" s="23"/>
      <c r="G6" s="23"/>
      <c r="H6" s="23"/>
      <c r="I6" s="34"/>
    </row>
    <row r="7" customFormat="false" ht="15" hidden="false" customHeight="false" outlineLevel="0" collapsed="false">
      <c r="A7" s="23"/>
      <c r="B7" s="23"/>
      <c r="C7" s="23"/>
      <c r="D7" s="23"/>
      <c r="E7" s="34"/>
      <c r="F7" s="23"/>
      <c r="G7" s="23"/>
      <c r="H7" s="23"/>
      <c r="I7" s="34"/>
    </row>
    <row r="8" customFormat="false" ht="15" hidden="false" customHeight="false" outlineLevel="0" collapsed="false">
      <c r="A8" s="23"/>
      <c r="B8" s="23"/>
      <c r="C8" s="23"/>
      <c r="D8" s="23"/>
      <c r="E8" s="34"/>
      <c r="F8" s="23"/>
      <c r="G8" s="23"/>
      <c r="H8" s="23"/>
      <c r="I8" s="34"/>
    </row>
    <row r="9" customFormat="false" ht="15" hidden="false" customHeight="false" outlineLevel="0" collapsed="false">
      <c r="A9" s="23"/>
      <c r="B9" s="23"/>
      <c r="C9" s="23"/>
      <c r="D9" s="23"/>
      <c r="E9" s="34"/>
      <c r="F9" s="23"/>
      <c r="G9" s="23"/>
      <c r="H9" s="23"/>
      <c r="I9" s="34"/>
    </row>
    <row r="10" customFormat="false" ht="15" hidden="false" customHeight="false" outlineLevel="0" collapsed="false">
      <c r="A10" s="23"/>
      <c r="B10" s="23"/>
      <c r="C10" s="23"/>
      <c r="D10" s="23"/>
      <c r="E10" s="34"/>
      <c r="F10" s="23"/>
      <c r="G10" s="23"/>
      <c r="H10" s="23"/>
      <c r="I10" s="34"/>
    </row>
    <row r="11" customFormat="false" ht="15" hidden="false" customHeight="false" outlineLevel="0" collapsed="false">
      <c r="A11" s="23"/>
      <c r="B11" s="23"/>
      <c r="C11" s="23"/>
      <c r="D11" s="23"/>
      <c r="E11" s="34"/>
      <c r="F11" s="23"/>
      <c r="G11" s="23"/>
      <c r="H11" s="23"/>
      <c r="I11" s="34"/>
    </row>
    <row r="12" customFormat="false" ht="15" hidden="false" customHeight="false" outlineLevel="0" collapsed="false">
      <c r="A12" s="23"/>
      <c r="B12" s="23"/>
      <c r="C12" s="23"/>
      <c r="D12" s="23"/>
      <c r="E12" s="34"/>
      <c r="F12" s="23"/>
      <c r="G12" s="23"/>
      <c r="H12" s="23"/>
      <c r="I12" s="34"/>
    </row>
    <row r="13" customFormat="false" ht="15" hidden="false" customHeight="false" outlineLevel="0" collapsed="false">
      <c r="A13" s="23"/>
      <c r="B13" s="23"/>
      <c r="C13" s="23"/>
      <c r="D13" s="23"/>
      <c r="E13" s="34"/>
      <c r="F13" s="23"/>
      <c r="G13" s="23"/>
      <c r="H13" s="23"/>
      <c r="I13" s="34"/>
    </row>
    <row r="14" customFormat="false" ht="15" hidden="false" customHeight="false" outlineLevel="0" collapsed="false">
      <c r="A14" s="23"/>
      <c r="B14" s="23"/>
      <c r="C14" s="23"/>
      <c r="D14" s="23"/>
      <c r="E14" s="34"/>
      <c r="F14" s="23"/>
      <c r="G14" s="23"/>
      <c r="H14" s="23"/>
      <c r="I14" s="34"/>
    </row>
    <row r="15" customFormat="false" ht="15" hidden="false" customHeight="false" outlineLevel="0" collapsed="false">
      <c r="A15" s="23"/>
      <c r="B15" s="23"/>
      <c r="C15" s="23"/>
      <c r="D15" s="23"/>
      <c r="E15" s="34"/>
      <c r="F15" s="23"/>
      <c r="G15" s="23"/>
      <c r="H15" s="23"/>
      <c r="I15" s="34"/>
    </row>
    <row r="16" customFormat="false" ht="15" hidden="false" customHeight="false" outlineLevel="0" collapsed="false">
      <c r="A16" s="23"/>
      <c r="B16" s="23"/>
      <c r="C16" s="23"/>
      <c r="D16" s="23"/>
      <c r="E16" s="34"/>
      <c r="F16" s="23"/>
      <c r="G16" s="23"/>
      <c r="H16" s="23"/>
      <c r="I16" s="34"/>
    </row>
    <row r="17" customFormat="false" ht="15" hidden="false" customHeight="false" outlineLevel="0" collapsed="false">
      <c r="A17" s="23"/>
      <c r="B17" s="23"/>
      <c r="C17" s="23"/>
      <c r="D17" s="23"/>
      <c r="E17" s="34"/>
      <c r="F17" s="23"/>
      <c r="G17" s="23"/>
      <c r="H17" s="23"/>
      <c r="I17" s="34"/>
    </row>
    <row r="18" customFormat="false" ht="15" hidden="false" customHeight="false" outlineLevel="0" collapsed="false">
      <c r="A18" s="23"/>
      <c r="B18" s="23"/>
      <c r="C18" s="23"/>
      <c r="D18" s="23"/>
      <c r="E18" s="34"/>
      <c r="F18" s="23"/>
      <c r="G18" s="23"/>
      <c r="H18" s="23"/>
      <c r="I18" s="34"/>
    </row>
    <row r="19" customFormat="false" ht="15" hidden="false" customHeight="false" outlineLevel="0" collapsed="false">
      <c r="A19" s="23"/>
      <c r="B19" s="23"/>
      <c r="C19" s="23"/>
      <c r="D19" s="23"/>
      <c r="E19" s="34"/>
      <c r="F19" s="23"/>
      <c r="G19" s="23"/>
      <c r="H19" s="23"/>
      <c r="I19" s="34"/>
    </row>
    <row r="20" customFormat="false" ht="15" hidden="false" customHeight="false" outlineLevel="0" collapsed="false">
      <c r="A20" s="23"/>
      <c r="B20" s="23"/>
      <c r="C20" s="23"/>
      <c r="D20" s="23"/>
      <c r="E20" s="34"/>
      <c r="F20" s="23"/>
      <c r="G20" s="23"/>
      <c r="H20" s="23"/>
      <c r="I20" s="34"/>
    </row>
    <row r="21" customFormat="false" ht="15" hidden="false" customHeight="false" outlineLevel="0" collapsed="false">
      <c r="A21" s="23"/>
      <c r="B21" s="23"/>
      <c r="C21" s="23"/>
      <c r="D21" s="23"/>
      <c r="E21" s="34"/>
      <c r="F21" s="23"/>
      <c r="G21" s="23"/>
      <c r="H21" s="23"/>
      <c r="I21" s="34"/>
    </row>
    <row r="22" customFormat="false" ht="15" hidden="false" customHeight="false" outlineLevel="0" collapsed="false">
      <c r="A22" s="23"/>
      <c r="B22" s="23"/>
      <c r="C22" s="23"/>
      <c r="D22" s="23"/>
      <c r="E22" s="34"/>
      <c r="F22" s="23"/>
      <c r="G22" s="23"/>
      <c r="H22" s="23"/>
      <c r="I22" s="34"/>
    </row>
    <row r="23" customFormat="false" ht="15" hidden="false" customHeight="false" outlineLevel="0" collapsed="false">
      <c r="A23" s="23"/>
      <c r="B23" s="23"/>
      <c r="C23" s="23"/>
      <c r="D23" s="23"/>
      <c r="E23" s="34"/>
      <c r="F23" s="23"/>
      <c r="G23" s="23"/>
      <c r="H23" s="23"/>
      <c r="I23" s="34"/>
    </row>
    <row r="24" customFormat="false" ht="15" hidden="false" customHeight="false" outlineLevel="0" collapsed="false">
      <c r="A24" s="23"/>
      <c r="B24" s="23"/>
      <c r="C24" s="23"/>
      <c r="D24" s="23"/>
      <c r="E24" s="34"/>
      <c r="F24" s="23"/>
      <c r="G24" s="23"/>
      <c r="H24" s="23"/>
      <c r="I24" s="34"/>
    </row>
    <row r="25" customFormat="false" ht="15" hidden="false" customHeight="false" outlineLevel="0" collapsed="false">
      <c r="A25" s="23"/>
      <c r="B25" s="23"/>
      <c r="C25" s="23"/>
      <c r="D25" s="23"/>
      <c r="E25" s="34"/>
      <c r="F25" s="23"/>
      <c r="G25" s="23"/>
      <c r="H25" s="23"/>
      <c r="I25" s="34"/>
    </row>
    <row r="26" customFormat="false" ht="15" hidden="false" customHeight="false" outlineLevel="0" collapsed="false">
      <c r="A26" s="23"/>
      <c r="B26" s="23"/>
      <c r="C26" s="23"/>
      <c r="D26" s="23"/>
      <c r="E26" s="34"/>
      <c r="F26" s="23"/>
      <c r="G26" s="23"/>
      <c r="H26" s="23"/>
      <c r="I26" s="34"/>
    </row>
    <row r="27" customFormat="false" ht="15" hidden="false" customHeight="false" outlineLevel="0" collapsed="false">
      <c r="A27" s="23"/>
      <c r="B27" s="23"/>
      <c r="C27" s="23"/>
      <c r="D27" s="23"/>
      <c r="E27" s="34"/>
      <c r="F27" s="23"/>
      <c r="G27" s="23"/>
      <c r="H27" s="23"/>
      <c r="I27" s="34"/>
    </row>
    <row r="28" customFormat="false" ht="15" hidden="false" customHeight="false" outlineLevel="0" collapsed="false">
      <c r="A28" s="23"/>
      <c r="B28" s="23"/>
      <c r="C28" s="23"/>
      <c r="D28" s="23"/>
      <c r="E28" s="34"/>
      <c r="F28" s="23"/>
      <c r="G28" s="23"/>
      <c r="H28" s="23"/>
      <c r="I28" s="34"/>
    </row>
    <row r="29" customFormat="false" ht="15" hidden="false" customHeight="false" outlineLevel="0" collapsed="false">
      <c r="A29" s="23"/>
      <c r="B29" s="23"/>
      <c r="C29" s="23"/>
      <c r="D29" s="23"/>
      <c r="E29" s="34"/>
      <c r="F29" s="23"/>
      <c r="G29" s="23"/>
      <c r="H29" s="23"/>
      <c r="I29" s="34"/>
    </row>
    <row r="30" customFormat="false" ht="15" hidden="false" customHeight="false" outlineLevel="0" collapsed="false">
      <c r="A30" s="23"/>
      <c r="B30" s="23"/>
      <c r="C30" s="23"/>
      <c r="D30" s="23"/>
      <c r="E30" s="34"/>
      <c r="F30" s="23"/>
      <c r="G30" s="23"/>
      <c r="H30" s="23"/>
      <c r="I30" s="34"/>
    </row>
    <row r="31" customFormat="false" ht="15" hidden="false" customHeight="false" outlineLevel="0" collapsed="false">
      <c r="A31" s="23"/>
      <c r="B31" s="23"/>
      <c r="C31" s="23"/>
      <c r="D31" s="23"/>
      <c r="E31" s="34"/>
      <c r="F31" s="23"/>
      <c r="G31" s="23"/>
      <c r="H31" s="23"/>
      <c r="I31" s="34"/>
    </row>
    <row r="32" customFormat="false" ht="15" hidden="false" customHeight="false" outlineLevel="0" collapsed="false">
      <c r="A32" s="23"/>
      <c r="B32" s="23"/>
      <c r="C32" s="23"/>
      <c r="D32" s="23"/>
      <c r="E32" s="34"/>
      <c r="F32" s="23"/>
      <c r="G32" s="23"/>
      <c r="H32" s="23"/>
      <c r="I32" s="34"/>
    </row>
    <row r="33" customFormat="false" ht="15" hidden="false" customHeight="false" outlineLevel="0" collapsed="false">
      <c r="A33" s="23"/>
      <c r="B33" s="23"/>
      <c r="C33" s="23"/>
      <c r="D33" s="23"/>
      <c r="E33" s="34"/>
      <c r="F33" s="23"/>
      <c r="G33" s="23"/>
      <c r="H33" s="23"/>
      <c r="I33" s="34"/>
    </row>
    <row r="34" customFormat="false" ht="15" hidden="false" customHeight="false" outlineLevel="0" collapsed="false">
      <c r="A34" s="23"/>
      <c r="B34" s="23"/>
      <c r="C34" s="23"/>
      <c r="D34" s="23"/>
      <c r="E34" s="34"/>
      <c r="F34" s="23"/>
      <c r="G34" s="23"/>
      <c r="H34" s="23"/>
      <c r="I34" s="34"/>
    </row>
    <row r="35" customFormat="false" ht="15" hidden="false" customHeight="false" outlineLevel="0" collapsed="false">
      <c r="A35" s="23"/>
      <c r="B35" s="23"/>
      <c r="C35" s="23"/>
      <c r="D35" s="23"/>
      <c r="E35" s="34"/>
      <c r="F35" s="23"/>
      <c r="G35" s="23"/>
      <c r="H35" s="23"/>
      <c r="I35" s="34"/>
    </row>
    <row r="36" customFormat="false" ht="15" hidden="false" customHeight="false" outlineLevel="0" collapsed="false">
      <c r="A36" s="23"/>
      <c r="B36" s="23"/>
      <c r="C36" s="23"/>
      <c r="D36" s="23"/>
      <c r="E36" s="34"/>
      <c r="F36" s="23"/>
      <c r="G36" s="23"/>
      <c r="H36" s="23"/>
      <c r="I36" s="34"/>
    </row>
    <row r="37" customFormat="false" ht="15" hidden="false" customHeight="false" outlineLevel="0" collapsed="false">
      <c r="A37" s="23"/>
      <c r="B37" s="23"/>
      <c r="C37" s="23"/>
      <c r="D37" s="23"/>
      <c r="E37" s="34"/>
      <c r="F37" s="23"/>
      <c r="G37" s="23"/>
      <c r="H37" s="23"/>
      <c r="I37" s="34"/>
    </row>
    <row r="38" customFormat="false" ht="15" hidden="false" customHeight="false" outlineLevel="0" collapsed="false">
      <c r="A38" s="23"/>
      <c r="B38" s="23"/>
      <c r="C38" s="23"/>
      <c r="D38" s="23"/>
      <c r="E38" s="34"/>
      <c r="F38" s="23"/>
      <c r="G38" s="23"/>
      <c r="H38" s="23"/>
      <c r="I38" s="34"/>
    </row>
    <row r="39" customFormat="false" ht="15" hidden="false" customHeight="false" outlineLevel="0" collapsed="false">
      <c r="A39" s="23"/>
      <c r="B39" s="23"/>
      <c r="C39" s="23"/>
      <c r="D39" s="23"/>
      <c r="E39" s="34"/>
      <c r="F39" s="23"/>
      <c r="G39" s="23"/>
      <c r="H39" s="23"/>
      <c r="I39" s="34"/>
    </row>
    <row r="40" customFormat="false" ht="15" hidden="false" customHeight="false" outlineLevel="0" collapsed="false">
      <c r="A40" s="23"/>
      <c r="B40" s="23"/>
      <c r="C40" s="23"/>
      <c r="D40" s="23"/>
      <c r="E40" s="34"/>
      <c r="F40" s="23"/>
      <c r="G40" s="23"/>
      <c r="H40" s="23"/>
      <c r="I40" s="34"/>
    </row>
    <row r="41" customFormat="false" ht="15" hidden="false" customHeight="false" outlineLevel="0" collapsed="false">
      <c r="A41" s="23"/>
      <c r="B41" s="23"/>
      <c r="C41" s="23"/>
      <c r="D41" s="23"/>
      <c r="E41" s="34"/>
      <c r="F41" s="23"/>
      <c r="G41" s="23"/>
      <c r="H41" s="23"/>
      <c r="I41" s="34"/>
    </row>
    <row r="42" customFormat="false" ht="15" hidden="false" customHeight="false" outlineLevel="0" collapsed="false">
      <c r="A42" s="23"/>
      <c r="B42" s="23"/>
      <c r="C42" s="23"/>
      <c r="D42" s="23"/>
      <c r="E42" s="34"/>
      <c r="F42" s="23"/>
      <c r="G42" s="23"/>
      <c r="H42" s="23"/>
      <c r="I42" s="34"/>
    </row>
    <row r="43" customFormat="false" ht="15" hidden="false" customHeight="false" outlineLevel="0" collapsed="false">
      <c r="A43" s="23"/>
      <c r="B43" s="23"/>
      <c r="C43" s="23"/>
      <c r="D43" s="23"/>
      <c r="E43" s="34"/>
      <c r="F43" s="23"/>
      <c r="G43" s="23"/>
      <c r="H43" s="23"/>
      <c r="I43" s="34"/>
    </row>
    <row r="44" customFormat="false" ht="15" hidden="false" customHeight="false" outlineLevel="0" collapsed="false">
      <c r="A44" s="23"/>
      <c r="B44" s="23"/>
      <c r="C44" s="23"/>
      <c r="D44" s="23"/>
      <c r="E44" s="34"/>
      <c r="F44" s="23"/>
      <c r="G44" s="23"/>
      <c r="H44" s="23"/>
      <c r="I44" s="34"/>
    </row>
    <row r="45" customFormat="false" ht="15" hidden="false" customHeight="false" outlineLevel="0" collapsed="false">
      <c r="A45" s="23"/>
      <c r="B45" s="23"/>
      <c r="C45" s="23"/>
      <c r="D45" s="23"/>
      <c r="E45" s="34"/>
      <c r="F45" s="23"/>
      <c r="G45" s="23"/>
      <c r="H45" s="23"/>
      <c r="I45" s="34"/>
    </row>
    <row r="46" customFormat="false" ht="15" hidden="false" customHeight="false" outlineLevel="0" collapsed="false">
      <c r="A46" s="23"/>
      <c r="B46" s="23"/>
      <c r="C46" s="23"/>
      <c r="D46" s="23"/>
      <c r="E46" s="34"/>
      <c r="F46" s="23"/>
      <c r="G46" s="23"/>
      <c r="H46" s="23"/>
      <c r="I46" s="34"/>
    </row>
    <row r="47" customFormat="false" ht="15" hidden="false" customHeight="false" outlineLevel="0" collapsed="false">
      <c r="A47" s="23"/>
      <c r="B47" s="23"/>
      <c r="C47" s="23"/>
      <c r="D47" s="23"/>
      <c r="E47" s="34"/>
      <c r="F47" s="23"/>
      <c r="G47" s="23"/>
      <c r="H47" s="23"/>
      <c r="I47" s="34"/>
    </row>
    <row r="48" customFormat="false" ht="15" hidden="false" customHeight="false" outlineLevel="0" collapsed="false">
      <c r="A48" s="23"/>
      <c r="B48" s="23"/>
      <c r="C48" s="23"/>
      <c r="D48" s="23"/>
      <c r="E48" s="34"/>
      <c r="F48" s="23"/>
      <c r="G48" s="23"/>
      <c r="H48" s="23"/>
      <c r="I48" s="34"/>
    </row>
    <row r="49" customFormat="false" ht="15" hidden="false" customHeight="false" outlineLevel="0" collapsed="false">
      <c r="A49" s="23"/>
      <c r="B49" s="23"/>
      <c r="C49" s="23"/>
      <c r="D49" s="23"/>
      <c r="E49" s="34"/>
      <c r="F49" s="23"/>
      <c r="G49" s="23"/>
      <c r="H49" s="23"/>
      <c r="I49" s="34"/>
    </row>
    <row r="50" customFormat="false" ht="15" hidden="false" customHeight="false" outlineLevel="0" collapsed="false">
      <c r="A50" s="23"/>
      <c r="B50" s="23"/>
      <c r="C50" s="23"/>
      <c r="D50" s="23"/>
      <c r="E50" s="34"/>
      <c r="F50" s="23"/>
      <c r="G50" s="23"/>
      <c r="H50" s="23"/>
      <c r="I50" s="34"/>
    </row>
    <row r="51" customFormat="false" ht="15" hidden="false" customHeight="false" outlineLevel="0" collapsed="false">
      <c r="A51" s="23"/>
      <c r="B51" s="23"/>
      <c r="C51" s="23"/>
      <c r="D51" s="23"/>
      <c r="E51" s="34"/>
      <c r="F51" s="23"/>
      <c r="G51" s="23"/>
      <c r="H51" s="23"/>
      <c r="I51" s="34"/>
    </row>
    <row r="52" customFormat="false" ht="15" hidden="false" customHeight="false" outlineLevel="0" collapsed="false">
      <c r="A52" s="23"/>
      <c r="B52" s="23"/>
      <c r="C52" s="23"/>
      <c r="D52" s="23"/>
      <c r="E52" s="34"/>
      <c r="F52" s="23"/>
      <c r="G52" s="23"/>
      <c r="H52" s="23"/>
      <c r="I52" s="34"/>
    </row>
    <row r="53" customFormat="false" ht="15" hidden="false" customHeight="false" outlineLevel="0" collapsed="false">
      <c r="A53" s="23"/>
      <c r="B53" s="23"/>
      <c r="C53" s="23"/>
      <c r="D53" s="23"/>
      <c r="E53" s="34"/>
      <c r="F53" s="23"/>
      <c r="G53" s="23"/>
      <c r="H53" s="23"/>
      <c r="I53" s="34"/>
    </row>
    <row r="54" customFormat="false" ht="15" hidden="false" customHeight="false" outlineLevel="0" collapsed="false">
      <c r="A54" s="23"/>
      <c r="B54" s="23"/>
      <c r="C54" s="23"/>
      <c r="D54" s="23"/>
      <c r="E54" s="34"/>
      <c r="F54" s="23"/>
      <c r="G54" s="23"/>
      <c r="H54" s="23"/>
      <c r="I54" s="34"/>
    </row>
    <row r="55" customFormat="false" ht="15" hidden="false" customHeight="false" outlineLevel="0" collapsed="false">
      <c r="A55" s="23"/>
      <c r="B55" s="23"/>
      <c r="C55" s="23"/>
      <c r="D55" s="23"/>
      <c r="E55" s="34"/>
      <c r="F55" s="23"/>
      <c r="G55" s="23"/>
      <c r="H55" s="23"/>
      <c r="I55" s="34"/>
    </row>
    <row r="56" customFormat="false" ht="15" hidden="false" customHeight="false" outlineLevel="0" collapsed="false">
      <c r="A56" s="23"/>
      <c r="B56" s="23"/>
      <c r="C56" s="23"/>
      <c r="D56" s="23"/>
      <c r="E56" s="34"/>
      <c r="F56" s="23"/>
      <c r="G56" s="23"/>
      <c r="H56" s="23"/>
      <c r="I56" s="34"/>
    </row>
    <row r="57" customFormat="false" ht="15" hidden="false" customHeight="false" outlineLevel="0" collapsed="false">
      <c r="A57" s="23"/>
      <c r="B57" s="23"/>
      <c r="C57" s="23"/>
      <c r="D57" s="23"/>
      <c r="E57" s="34"/>
      <c r="F57" s="23"/>
      <c r="G57" s="23"/>
      <c r="H57" s="23"/>
      <c r="I57" s="34"/>
    </row>
    <row r="58" customFormat="false" ht="15" hidden="false" customHeight="false" outlineLevel="0" collapsed="false">
      <c r="A58" s="23"/>
      <c r="B58" s="23"/>
      <c r="C58" s="23"/>
      <c r="D58" s="23"/>
      <c r="E58" s="34"/>
      <c r="F58" s="23"/>
      <c r="G58" s="23"/>
      <c r="H58" s="23"/>
      <c r="I58" s="34"/>
    </row>
    <row r="59" customFormat="false" ht="15" hidden="false" customHeight="false" outlineLevel="0" collapsed="false">
      <c r="A59" s="23"/>
      <c r="B59" s="23"/>
      <c r="C59" s="23"/>
      <c r="D59" s="23"/>
      <c r="E59" s="34"/>
      <c r="F59" s="23"/>
      <c r="G59" s="23"/>
      <c r="H59" s="23"/>
      <c r="I59" s="34"/>
    </row>
    <row r="60" customFormat="false" ht="15" hidden="false" customHeight="false" outlineLevel="0" collapsed="false">
      <c r="A60" s="23"/>
      <c r="B60" s="23"/>
      <c r="C60" s="23"/>
      <c r="D60" s="23"/>
      <c r="E60" s="34"/>
      <c r="F60" s="23"/>
      <c r="G60" s="23"/>
      <c r="H60" s="23"/>
      <c r="I60" s="34"/>
    </row>
    <row r="61" customFormat="false" ht="15" hidden="false" customHeight="false" outlineLevel="0" collapsed="false">
      <c r="A61" s="23"/>
      <c r="B61" s="23"/>
      <c r="C61" s="23"/>
      <c r="D61" s="23"/>
      <c r="E61" s="34"/>
      <c r="F61" s="23"/>
      <c r="G61" s="23"/>
      <c r="H61" s="23"/>
      <c r="I61" s="34"/>
    </row>
    <row r="62" customFormat="false" ht="15" hidden="false" customHeight="false" outlineLevel="0" collapsed="false">
      <c r="A62" s="23"/>
      <c r="B62" s="23"/>
      <c r="C62" s="23"/>
      <c r="D62" s="23"/>
      <c r="E62" s="34"/>
      <c r="F62" s="23"/>
      <c r="G62" s="23"/>
      <c r="H62" s="23"/>
      <c r="I62" s="34"/>
    </row>
    <row r="63" customFormat="false" ht="15" hidden="false" customHeight="false" outlineLevel="0" collapsed="false">
      <c r="A63" s="23"/>
      <c r="B63" s="23"/>
      <c r="C63" s="23"/>
      <c r="D63" s="23"/>
      <c r="E63" s="34"/>
      <c r="F63" s="23"/>
      <c r="G63" s="23"/>
      <c r="H63" s="23"/>
      <c r="I63" s="34"/>
    </row>
    <row r="64" customFormat="false" ht="15" hidden="false" customHeight="false" outlineLevel="0" collapsed="false">
      <c r="A64" s="23"/>
      <c r="B64" s="23"/>
      <c r="C64" s="23"/>
      <c r="D64" s="23"/>
      <c r="E64" s="34"/>
      <c r="F64" s="23"/>
      <c r="G64" s="23"/>
      <c r="H64" s="23"/>
      <c r="I64" s="34"/>
    </row>
    <row r="65" customFormat="false" ht="15" hidden="false" customHeight="false" outlineLevel="0" collapsed="false">
      <c r="A65" s="23"/>
      <c r="B65" s="23"/>
      <c r="C65" s="23"/>
      <c r="D65" s="23"/>
      <c r="E65" s="34"/>
      <c r="F65" s="23"/>
      <c r="G65" s="23"/>
      <c r="H65" s="23"/>
      <c r="I65" s="34"/>
    </row>
    <row r="66" customFormat="false" ht="15" hidden="false" customHeight="false" outlineLevel="0" collapsed="false">
      <c r="A66" s="23"/>
      <c r="B66" s="23"/>
      <c r="C66" s="23"/>
      <c r="D66" s="23"/>
      <c r="E66" s="34"/>
      <c r="F66" s="23"/>
      <c r="G66" s="23"/>
      <c r="H66" s="23"/>
      <c r="I66" s="34"/>
    </row>
    <row r="67" customFormat="false" ht="15" hidden="false" customHeight="false" outlineLevel="0" collapsed="false">
      <c r="A67" s="23"/>
      <c r="B67" s="23"/>
      <c r="C67" s="23"/>
      <c r="D67" s="23"/>
      <c r="E67" s="34"/>
      <c r="F67" s="23"/>
      <c r="G67" s="23"/>
      <c r="H67" s="23"/>
      <c r="I67" s="34"/>
    </row>
    <row r="68" customFormat="false" ht="15" hidden="false" customHeight="false" outlineLevel="0" collapsed="false">
      <c r="A68" s="23"/>
      <c r="B68" s="23"/>
      <c r="C68" s="23"/>
      <c r="D68" s="23"/>
      <c r="E68" s="34"/>
      <c r="F68" s="23"/>
      <c r="G68" s="23"/>
      <c r="H68" s="23"/>
      <c r="I68" s="34"/>
    </row>
    <row r="69" customFormat="false" ht="15" hidden="false" customHeight="false" outlineLevel="0" collapsed="false">
      <c r="A69" s="23"/>
      <c r="B69" s="23"/>
      <c r="C69" s="23"/>
      <c r="D69" s="23"/>
      <c r="E69" s="34"/>
      <c r="F69" s="23"/>
      <c r="G69" s="23"/>
      <c r="H69" s="23"/>
      <c r="I69" s="34"/>
    </row>
    <row r="70" customFormat="false" ht="15" hidden="false" customHeight="false" outlineLevel="0" collapsed="false">
      <c r="A70" s="23"/>
      <c r="B70" s="23"/>
      <c r="C70" s="23"/>
      <c r="D70" s="23"/>
      <c r="E70" s="34"/>
      <c r="F70" s="23"/>
      <c r="G70" s="23"/>
      <c r="H70" s="23"/>
      <c r="I70" s="34"/>
    </row>
    <row r="71" customFormat="false" ht="15" hidden="false" customHeight="false" outlineLevel="0" collapsed="false">
      <c r="A71" s="23"/>
      <c r="B71" s="23"/>
      <c r="C71" s="23"/>
      <c r="D71" s="23"/>
      <c r="E71" s="34"/>
      <c r="F71" s="23"/>
      <c r="G71" s="23"/>
      <c r="H71" s="23"/>
      <c r="I71" s="34"/>
    </row>
    <row r="72" customFormat="false" ht="15" hidden="false" customHeight="false" outlineLevel="0" collapsed="false">
      <c r="A72" s="23"/>
      <c r="B72" s="23"/>
      <c r="C72" s="23"/>
      <c r="D72" s="23"/>
      <c r="E72" s="34"/>
      <c r="F72" s="23"/>
      <c r="G72" s="23"/>
      <c r="H72" s="23"/>
      <c r="I72" s="34"/>
    </row>
    <row r="73" customFormat="false" ht="15" hidden="false" customHeight="false" outlineLevel="0" collapsed="false">
      <c r="A73" s="23"/>
      <c r="B73" s="23"/>
      <c r="C73" s="23"/>
      <c r="D73" s="23"/>
      <c r="E73" s="34"/>
      <c r="F73" s="23"/>
      <c r="G73" s="23"/>
      <c r="H73" s="23"/>
      <c r="I73" s="34"/>
    </row>
    <row r="74" customFormat="false" ht="15" hidden="false" customHeight="false" outlineLevel="0" collapsed="false">
      <c r="A74" s="23"/>
      <c r="B74" s="23"/>
      <c r="C74" s="23"/>
      <c r="D74" s="23"/>
      <c r="E74" s="34"/>
      <c r="F74" s="23"/>
      <c r="G74" s="23"/>
      <c r="H74" s="23"/>
      <c r="I74" s="34"/>
    </row>
    <row r="75" customFormat="false" ht="15" hidden="false" customHeight="false" outlineLevel="0" collapsed="false">
      <c r="A75" s="23"/>
      <c r="B75" s="23"/>
      <c r="C75" s="23"/>
      <c r="D75" s="23"/>
      <c r="E75" s="34"/>
      <c r="F75" s="23"/>
      <c r="G75" s="23"/>
      <c r="H75" s="23"/>
      <c r="I75" s="34"/>
    </row>
    <row r="76" customFormat="false" ht="15" hidden="false" customHeight="false" outlineLevel="0" collapsed="false">
      <c r="A76" s="23"/>
      <c r="B76" s="23"/>
      <c r="C76" s="23"/>
      <c r="D76" s="23"/>
      <c r="E76" s="34"/>
      <c r="F76" s="23"/>
      <c r="G76" s="23"/>
      <c r="H76" s="23"/>
      <c r="I76" s="34"/>
    </row>
    <row r="77" customFormat="false" ht="15" hidden="false" customHeight="false" outlineLevel="0" collapsed="false">
      <c r="A77" s="23"/>
      <c r="B77" s="23"/>
      <c r="C77" s="23"/>
      <c r="D77" s="23"/>
      <c r="E77" s="34"/>
      <c r="F77" s="23"/>
      <c r="G77" s="23"/>
      <c r="H77" s="23"/>
      <c r="I77" s="34"/>
    </row>
    <row r="78" customFormat="false" ht="15" hidden="false" customHeight="false" outlineLevel="0" collapsed="false">
      <c r="A78" s="23"/>
      <c r="B78" s="23"/>
      <c r="C78" s="23"/>
      <c r="D78" s="23"/>
      <c r="E78" s="34"/>
      <c r="F78" s="23"/>
      <c r="G78" s="23"/>
      <c r="H78" s="23"/>
      <c r="I78" s="34"/>
    </row>
    <row r="79" customFormat="false" ht="15" hidden="false" customHeight="false" outlineLevel="0" collapsed="false">
      <c r="A79" s="23"/>
      <c r="B79" s="23"/>
      <c r="C79" s="23"/>
      <c r="D79" s="23"/>
      <c r="E79" s="34"/>
      <c r="F79" s="23"/>
      <c r="G79" s="23"/>
      <c r="H79" s="23"/>
      <c r="I79" s="34"/>
    </row>
    <row r="80" customFormat="false" ht="15" hidden="false" customHeight="false" outlineLevel="0" collapsed="false">
      <c r="A80" s="23"/>
      <c r="B80" s="23"/>
      <c r="C80" s="23"/>
      <c r="D80" s="23"/>
      <c r="E80" s="34"/>
      <c r="F80" s="23"/>
      <c r="G80" s="23"/>
      <c r="H80" s="23"/>
      <c r="I80" s="34"/>
    </row>
    <row r="81" customFormat="false" ht="15" hidden="false" customHeight="false" outlineLevel="0" collapsed="false">
      <c r="A81" s="23"/>
      <c r="B81" s="23"/>
      <c r="C81" s="23"/>
      <c r="D81" s="23"/>
      <c r="E81" s="34"/>
      <c r="F81" s="23"/>
      <c r="G81" s="23"/>
      <c r="H81" s="23"/>
      <c r="I81" s="34"/>
    </row>
    <row r="82" customFormat="false" ht="15" hidden="false" customHeight="false" outlineLevel="0" collapsed="false">
      <c r="A82" s="23"/>
      <c r="B82" s="23"/>
      <c r="C82" s="23"/>
      <c r="D82" s="23"/>
      <c r="E82" s="34"/>
      <c r="F82" s="23"/>
      <c r="G82" s="23"/>
      <c r="H82" s="23"/>
      <c r="I82" s="34"/>
    </row>
    <row r="83" customFormat="false" ht="15" hidden="false" customHeight="false" outlineLevel="0" collapsed="false">
      <c r="A83" s="23"/>
      <c r="B83" s="23"/>
      <c r="C83" s="23"/>
      <c r="D83" s="23"/>
      <c r="E83" s="34"/>
      <c r="F83" s="23"/>
      <c r="G83" s="23"/>
      <c r="H83" s="23"/>
      <c r="I83" s="34"/>
    </row>
    <row r="84" customFormat="false" ht="15" hidden="false" customHeight="false" outlineLevel="0" collapsed="false">
      <c r="A84" s="23"/>
      <c r="B84" s="23"/>
      <c r="C84" s="23"/>
      <c r="D84" s="23"/>
      <c r="E84" s="34"/>
      <c r="F84" s="23"/>
      <c r="G84" s="23"/>
      <c r="H84" s="23"/>
      <c r="I84" s="34"/>
    </row>
    <row r="85" customFormat="false" ht="15" hidden="false" customHeight="false" outlineLevel="0" collapsed="false">
      <c r="A85" s="23"/>
      <c r="B85" s="23"/>
      <c r="C85" s="23"/>
      <c r="D85" s="23"/>
      <c r="E85" s="34"/>
      <c r="F85" s="23"/>
      <c r="G85" s="23"/>
      <c r="H85" s="23"/>
      <c r="I85" s="34"/>
    </row>
    <row r="87" customFormat="false" ht="15" hidden="false" customHeight="false" outlineLevel="0" collapsed="false">
      <c r="A87" s="2" t="s">
        <v>159</v>
      </c>
    </row>
  </sheetData>
  <dataValidations count="1">
    <dataValidation allowBlank="true" errorStyle="stop" operator="between" showDropDown="false" showErrorMessage="false" showInputMessage="false" sqref="F5:H85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38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3" t="s">
        <v>160</v>
      </c>
    </row>
    <row r="2" customFormat="false" ht="15" hidden="false" customHeight="false" outlineLevel="0" collapsed="false">
      <c r="A2" s="2" t="s">
        <v>161</v>
      </c>
    </row>
    <row r="4" customFormat="false" ht="31.5" hidden="false" customHeight="true" outlineLevel="0" collapsed="false">
      <c r="A4" s="14" t="s">
        <v>41</v>
      </c>
      <c r="B4" s="14" t="s">
        <v>45</v>
      </c>
      <c r="C4" s="14" t="s">
        <v>162</v>
      </c>
      <c r="D4" s="14" t="s">
        <v>163</v>
      </c>
      <c r="E4" s="14" t="s">
        <v>164</v>
      </c>
      <c r="F4" s="14" t="s">
        <v>165</v>
      </c>
      <c r="G4" s="14" t="s">
        <v>166</v>
      </c>
      <c r="H4" s="14" t="s">
        <v>167</v>
      </c>
    </row>
    <row r="5" customFormat="false" ht="15" hidden="false" customHeight="false" outlineLevel="0" collapsed="false">
      <c r="A5" s="33" t="s">
        <v>168</v>
      </c>
      <c r="B5" s="33" t="s">
        <v>169</v>
      </c>
      <c r="C5" s="33" t="s">
        <v>170</v>
      </c>
      <c r="D5" s="33" t="s">
        <v>171</v>
      </c>
      <c r="E5" s="33" t="s">
        <v>219</v>
      </c>
      <c r="F5" s="33" t="s">
        <v>220</v>
      </c>
      <c r="G5" s="33" t="s">
        <v>221</v>
      </c>
      <c r="H5" s="33"/>
    </row>
    <row r="6" customFormat="false" ht="15" hidden="false" customHeight="false" outlineLevel="0" collapsed="false">
      <c r="A6" s="23"/>
      <c r="B6" s="23"/>
      <c r="C6" s="23"/>
      <c r="D6" s="34"/>
      <c r="E6" s="34"/>
      <c r="F6" s="34"/>
      <c r="G6" s="34"/>
      <c r="H6" s="23"/>
    </row>
    <row r="7" customFormat="false" ht="15" hidden="false" customHeight="false" outlineLevel="0" collapsed="false">
      <c r="A7" s="23"/>
      <c r="B7" s="23"/>
      <c r="C7" s="23"/>
      <c r="D7" s="34"/>
      <c r="E7" s="34"/>
      <c r="F7" s="34"/>
      <c r="G7" s="34"/>
      <c r="H7" s="23"/>
    </row>
    <row r="8" customFormat="false" ht="15" hidden="false" customHeight="false" outlineLevel="0" collapsed="false">
      <c r="A8" s="23"/>
      <c r="B8" s="23"/>
      <c r="C8" s="23"/>
      <c r="D8" s="34"/>
      <c r="E8" s="34"/>
      <c r="F8" s="34"/>
      <c r="G8" s="34"/>
      <c r="H8" s="23"/>
    </row>
    <row r="9" customFormat="false" ht="15" hidden="false" customHeight="false" outlineLevel="0" collapsed="false">
      <c r="A9" s="23"/>
      <c r="B9" s="23"/>
      <c r="C9" s="23"/>
      <c r="D9" s="34"/>
      <c r="E9" s="34"/>
      <c r="F9" s="34"/>
      <c r="G9" s="34"/>
      <c r="H9" s="23"/>
    </row>
    <row r="10" customFormat="false" ht="15" hidden="false" customHeight="false" outlineLevel="0" collapsed="false">
      <c r="A10" s="23"/>
      <c r="B10" s="23"/>
      <c r="C10" s="23"/>
      <c r="D10" s="34"/>
      <c r="E10" s="34"/>
      <c r="F10" s="34"/>
      <c r="G10" s="34"/>
      <c r="H10" s="23"/>
    </row>
    <row r="11" customFormat="false" ht="15" hidden="false" customHeight="false" outlineLevel="0" collapsed="false">
      <c r="A11" s="23"/>
      <c r="B11" s="23"/>
      <c r="C11" s="23"/>
      <c r="D11" s="34"/>
      <c r="E11" s="34"/>
      <c r="F11" s="34"/>
      <c r="G11" s="34"/>
      <c r="H11" s="23"/>
    </row>
    <row r="12" customFormat="false" ht="15" hidden="false" customHeight="false" outlineLevel="0" collapsed="false">
      <c r="A12" s="23"/>
      <c r="B12" s="23"/>
      <c r="C12" s="23"/>
      <c r="D12" s="34"/>
      <c r="E12" s="34"/>
      <c r="F12" s="34"/>
      <c r="G12" s="34"/>
      <c r="H12" s="23"/>
    </row>
    <row r="13" customFormat="false" ht="15" hidden="false" customHeight="false" outlineLevel="0" collapsed="false">
      <c r="A13" s="23"/>
      <c r="B13" s="23"/>
      <c r="C13" s="23"/>
      <c r="D13" s="34"/>
      <c r="E13" s="34"/>
      <c r="F13" s="34"/>
      <c r="G13" s="34"/>
      <c r="H13" s="23"/>
    </row>
    <row r="14" customFormat="false" ht="15" hidden="false" customHeight="false" outlineLevel="0" collapsed="false">
      <c r="A14" s="23"/>
      <c r="B14" s="23"/>
      <c r="C14" s="23"/>
      <c r="D14" s="34"/>
      <c r="E14" s="34"/>
      <c r="F14" s="34"/>
      <c r="G14" s="34"/>
      <c r="H14" s="23"/>
    </row>
    <row r="15" customFormat="false" ht="15" hidden="false" customHeight="false" outlineLevel="0" collapsed="false">
      <c r="A15" s="23"/>
      <c r="B15" s="23"/>
      <c r="C15" s="23"/>
      <c r="D15" s="34"/>
      <c r="E15" s="34"/>
      <c r="F15" s="34"/>
      <c r="G15" s="34"/>
      <c r="H15" s="23"/>
    </row>
    <row r="16" customFormat="false" ht="15" hidden="false" customHeight="false" outlineLevel="0" collapsed="false">
      <c r="A16" s="23"/>
      <c r="B16" s="23"/>
      <c r="C16" s="23"/>
      <c r="D16" s="34"/>
      <c r="E16" s="34"/>
      <c r="F16" s="34"/>
      <c r="G16" s="34"/>
      <c r="H16" s="23"/>
    </row>
    <row r="17" customFormat="false" ht="15" hidden="false" customHeight="false" outlineLevel="0" collapsed="false">
      <c r="A17" s="23"/>
      <c r="B17" s="23"/>
      <c r="C17" s="23"/>
      <c r="D17" s="34"/>
      <c r="E17" s="34"/>
      <c r="F17" s="34"/>
      <c r="G17" s="34"/>
      <c r="H17" s="23"/>
    </row>
    <row r="18" customFormat="false" ht="15" hidden="false" customHeight="false" outlineLevel="0" collapsed="false">
      <c r="A18" s="23"/>
      <c r="B18" s="23"/>
      <c r="C18" s="23"/>
      <c r="D18" s="34"/>
      <c r="E18" s="34"/>
      <c r="F18" s="34"/>
      <c r="G18" s="34"/>
      <c r="H18" s="23"/>
    </row>
    <row r="19" customFormat="false" ht="15" hidden="false" customHeight="false" outlineLevel="0" collapsed="false">
      <c r="A19" s="23"/>
      <c r="B19" s="23"/>
      <c r="C19" s="23"/>
      <c r="D19" s="34"/>
      <c r="E19" s="34"/>
      <c r="F19" s="34"/>
      <c r="G19" s="34"/>
      <c r="H19" s="23"/>
    </row>
    <row r="20" customFormat="false" ht="15" hidden="false" customHeight="false" outlineLevel="0" collapsed="false">
      <c r="A20" s="23"/>
      <c r="B20" s="23"/>
      <c r="C20" s="23"/>
      <c r="D20" s="34"/>
      <c r="E20" s="34"/>
      <c r="F20" s="34"/>
      <c r="G20" s="34"/>
      <c r="H20" s="23"/>
    </row>
    <row r="21" customFormat="false" ht="15" hidden="false" customHeight="false" outlineLevel="0" collapsed="false">
      <c r="A21" s="23"/>
      <c r="B21" s="23"/>
      <c r="C21" s="23"/>
      <c r="D21" s="34"/>
      <c r="E21" s="34"/>
      <c r="F21" s="34"/>
      <c r="G21" s="34"/>
      <c r="H21" s="23"/>
    </row>
    <row r="22" customFormat="false" ht="15" hidden="false" customHeight="false" outlineLevel="0" collapsed="false">
      <c r="A22" s="23"/>
      <c r="B22" s="23"/>
      <c r="C22" s="23"/>
      <c r="D22" s="34"/>
      <c r="E22" s="34"/>
      <c r="F22" s="34"/>
      <c r="G22" s="34"/>
      <c r="H22" s="23"/>
    </row>
    <row r="23" customFormat="false" ht="15" hidden="false" customHeight="false" outlineLevel="0" collapsed="false">
      <c r="A23" s="23"/>
      <c r="B23" s="23"/>
      <c r="C23" s="23"/>
      <c r="D23" s="34"/>
      <c r="E23" s="34"/>
      <c r="F23" s="34"/>
      <c r="G23" s="34"/>
      <c r="H23" s="23"/>
    </row>
    <row r="24" customFormat="false" ht="15" hidden="false" customHeight="false" outlineLevel="0" collapsed="false">
      <c r="A24" s="23"/>
      <c r="B24" s="23"/>
      <c r="C24" s="23"/>
      <c r="D24" s="34"/>
      <c r="E24" s="34"/>
      <c r="F24" s="34"/>
      <c r="G24" s="34"/>
      <c r="H24" s="23"/>
    </row>
    <row r="25" customFormat="false" ht="15" hidden="false" customHeight="false" outlineLevel="0" collapsed="false">
      <c r="A25" s="23"/>
      <c r="B25" s="23"/>
      <c r="C25" s="23"/>
      <c r="D25" s="34"/>
      <c r="E25" s="34"/>
      <c r="F25" s="34"/>
      <c r="G25" s="34"/>
      <c r="H25" s="23"/>
    </row>
    <row r="26" customFormat="false" ht="15" hidden="false" customHeight="false" outlineLevel="0" collapsed="false">
      <c r="A26" s="23"/>
      <c r="B26" s="23"/>
      <c r="C26" s="23"/>
      <c r="D26" s="34"/>
      <c r="E26" s="34"/>
      <c r="F26" s="34"/>
      <c r="G26" s="34"/>
      <c r="H26" s="23"/>
    </row>
    <row r="27" customFormat="false" ht="15" hidden="false" customHeight="false" outlineLevel="0" collapsed="false">
      <c r="A27" s="23"/>
      <c r="B27" s="23"/>
      <c r="C27" s="23"/>
      <c r="D27" s="34"/>
      <c r="E27" s="34"/>
      <c r="F27" s="34"/>
      <c r="G27" s="34"/>
      <c r="H27" s="23"/>
    </row>
    <row r="28" customFormat="false" ht="15" hidden="false" customHeight="false" outlineLevel="0" collapsed="false">
      <c r="A28" s="23"/>
      <c r="B28" s="23"/>
      <c r="C28" s="23"/>
      <c r="D28" s="34"/>
      <c r="E28" s="34"/>
      <c r="F28" s="34"/>
      <c r="G28" s="34"/>
      <c r="H28" s="23"/>
    </row>
    <row r="29" customFormat="false" ht="15" hidden="false" customHeight="false" outlineLevel="0" collapsed="false">
      <c r="A29" s="23"/>
      <c r="B29" s="23"/>
      <c r="C29" s="23"/>
      <c r="D29" s="34"/>
      <c r="E29" s="34"/>
      <c r="F29" s="34"/>
      <c r="G29" s="34"/>
      <c r="H29" s="23"/>
    </row>
    <row r="30" customFormat="false" ht="15" hidden="false" customHeight="false" outlineLevel="0" collapsed="false">
      <c r="A30" s="23"/>
      <c r="B30" s="23"/>
      <c r="C30" s="23"/>
      <c r="D30" s="34"/>
      <c r="E30" s="34"/>
      <c r="F30" s="34"/>
      <c r="G30" s="34"/>
      <c r="H30" s="23"/>
    </row>
    <row r="31" customFormat="false" ht="15" hidden="false" customHeight="false" outlineLevel="0" collapsed="false">
      <c r="A31" s="23"/>
      <c r="B31" s="23"/>
      <c r="C31" s="23"/>
      <c r="D31" s="34"/>
      <c r="E31" s="34"/>
      <c r="F31" s="34"/>
      <c r="G31" s="34"/>
      <c r="H31" s="23"/>
    </row>
    <row r="32" customFormat="false" ht="15" hidden="false" customHeight="false" outlineLevel="0" collapsed="false">
      <c r="A32" s="23"/>
      <c r="B32" s="23"/>
      <c r="C32" s="23"/>
      <c r="D32" s="34"/>
      <c r="E32" s="34"/>
      <c r="F32" s="34"/>
      <c r="G32" s="34"/>
      <c r="H32" s="23"/>
    </row>
    <row r="33" customFormat="false" ht="15" hidden="false" customHeight="false" outlineLevel="0" collapsed="false">
      <c r="A33" s="23"/>
      <c r="B33" s="23"/>
      <c r="C33" s="23"/>
      <c r="D33" s="34"/>
      <c r="E33" s="34"/>
      <c r="F33" s="34"/>
      <c r="G33" s="34"/>
      <c r="H33" s="23"/>
    </row>
    <row r="34" customFormat="false" ht="15" hidden="false" customHeight="false" outlineLevel="0" collapsed="false">
      <c r="A34" s="23"/>
      <c r="B34" s="23"/>
      <c r="C34" s="23"/>
      <c r="D34" s="34"/>
      <c r="E34" s="34"/>
      <c r="F34" s="34"/>
      <c r="G34" s="34"/>
      <c r="H34" s="23"/>
    </row>
    <row r="35" customFormat="false" ht="15" hidden="false" customHeight="false" outlineLevel="0" collapsed="false">
      <c r="A35" s="23"/>
      <c r="B35" s="23"/>
      <c r="C35" s="23"/>
      <c r="D35" s="34"/>
      <c r="E35" s="34"/>
      <c r="F35" s="34"/>
      <c r="G35" s="34"/>
      <c r="H35" s="23"/>
    </row>
    <row r="36" customFormat="false" ht="15" hidden="false" customHeight="false" outlineLevel="0" collapsed="false">
      <c r="A36" s="23"/>
      <c r="B36" s="23"/>
      <c r="C36" s="23"/>
      <c r="D36" s="34"/>
      <c r="E36" s="34"/>
      <c r="F36" s="34"/>
      <c r="G36" s="34"/>
      <c r="H36" s="23"/>
    </row>
    <row r="37" customFormat="false" ht="15" hidden="false" customHeight="false" outlineLevel="0" collapsed="false">
      <c r="A37" s="23"/>
      <c r="B37" s="23"/>
      <c r="C37" s="23"/>
      <c r="D37" s="34"/>
      <c r="E37" s="34"/>
      <c r="F37" s="34"/>
      <c r="G37" s="34"/>
      <c r="H37" s="23"/>
    </row>
    <row r="38" customFormat="false" ht="15" hidden="false" customHeight="false" outlineLevel="0" collapsed="false">
      <c r="A38" s="23"/>
      <c r="B38" s="23"/>
      <c r="C38" s="23"/>
      <c r="D38" s="34"/>
      <c r="E38" s="34"/>
      <c r="F38" s="34"/>
      <c r="G38" s="34"/>
      <c r="H38" s="23"/>
    </row>
    <row r="39" customFormat="false" ht="15" hidden="false" customHeight="false" outlineLevel="0" collapsed="false">
      <c r="A39" s="23"/>
      <c r="B39" s="23"/>
      <c r="C39" s="23"/>
      <c r="D39" s="34"/>
      <c r="E39" s="34"/>
      <c r="F39" s="34"/>
      <c r="G39" s="34"/>
      <c r="H39" s="23"/>
    </row>
    <row r="40" customFormat="false" ht="15" hidden="false" customHeight="false" outlineLevel="0" collapsed="false">
      <c r="A40" s="23"/>
      <c r="B40" s="23"/>
      <c r="C40" s="23"/>
      <c r="D40" s="34"/>
      <c r="E40" s="34"/>
      <c r="F40" s="34"/>
      <c r="G40" s="34"/>
      <c r="H40" s="23"/>
    </row>
    <row r="41" customFormat="false" ht="15" hidden="false" customHeight="false" outlineLevel="0" collapsed="false">
      <c r="A41" s="23"/>
      <c r="B41" s="23"/>
      <c r="C41" s="23"/>
      <c r="D41" s="34"/>
      <c r="E41" s="34"/>
      <c r="F41" s="34"/>
      <c r="G41" s="34"/>
      <c r="H41" s="23"/>
    </row>
    <row r="42" customFormat="false" ht="15" hidden="false" customHeight="false" outlineLevel="0" collapsed="false">
      <c r="A42" s="23"/>
      <c r="B42" s="23"/>
      <c r="C42" s="23"/>
      <c r="D42" s="34"/>
      <c r="E42" s="34"/>
      <c r="F42" s="34"/>
      <c r="G42" s="34"/>
      <c r="H42" s="23"/>
    </row>
    <row r="43" customFormat="false" ht="15" hidden="false" customHeight="false" outlineLevel="0" collapsed="false">
      <c r="A43" s="23"/>
      <c r="B43" s="23"/>
      <c r="C43" s="23"/>
      <c r="D43" s="34"/>
      <c r="E43" s="34"/>
      <c r="F43" s="34"/>
      <c r="G43" s="34"/>
      <c r="H43" s="23"/>
    </row>
    <row r="44" customFormat="false" ht="15" hidden="false" customHeight="false" outlineLevel="0" collapsed="false">
      <c r="A44" s="23"/>
      <c r="B44" s="23"/>
      <c r="C44" s="23"/>
      <c r="D44" s="34"/>
      <c r="E44" s="34"/>
      <c r="F44" s="34"/>
      <c r="G44" s="34"/>
      <c r="H44" s="23"/>
    </row>
    <row r="45" customFormat="false" ht="15" hidden="false" customHeight="false" outlineLevel="0" collapsed="false">
      <c r="A45" s="23"/>
      <c r="B45" s="23"/>
      <c r="C45" s="23"/>
      <c r="D45" s="34"/>
      <c r="E45" s="34"/>
      <c r="F45" s="34"/>
      <c r="G45" s="34"/>
      <c r="H45" s="23"/>
    </row>
    <row r="46" customFormat="false" ht="15" hidden="false" customHeight="false" outlineLevel="0" collapsed="false">
      <c r="A46" s="23"/>
      <c r="B46" s="23"/>
      <c r="C46" s="23"/>
      <c r="D46" s="34"/>
      <c r="E46" s="34"/>
      <c r="F46" s="34"/>
      <c r="G46" s="34"/>
      <c r="H46" s="23"/>
    </row>
    <row r="47" customFormat="false" ht="15" hidden="false" customHeight="false" outlineLevel="0" collapsed="false">
      <c r="A47" s="23"/>
      <c r="B47" s="23"/>
      <c r="C47" s="23"/>
      <c r="D47" s="34"/>
      <c r="E47" s="34"/>
      <c r="F47" s="34"/>
      <c r="G47" s="34"/>
      <c r="H47" s="23"/>
    </row>
    <row r="48" customFormat="false" ht="15" hidden="false" customHeight="false" outlineLevel="0" collapsed="false">
      <c r="A48" s="23"/>
      <c r="B48" s="23"/>
      <c r="C48" s="23"/>
      <c r="D48" s="34"/>
      <c r="E48" s="34"/>
      <c r="F48" s="34"/>
      <c r="G48" s="34"/>
      <c r="H48" s="23"/>
    </row>
    <row r="49" customFormat="false" ht="15" hidden="false" customHeight="false" outlineLevel="0" collapsed="false">
      <c r="A49" s="23"/>
      <c r="B49" s="23"/>
      <c r="C49" s="23"/>
      <c r="D49" s="34"/>
      <c r="E49" s="34"/>
      <c r="F49" s="34"/>
      <c r="G49" s="34"/>
      <c r="H49" s="23"/>
    </row>
    <row r="50" customFormat="false" ht="15" hidden="false" customHeight="false" outlineLevel="0" collapsed="false">
      <c r="A50" s="23"/>
      <c r="B50" s="23"/>
      <c r="C50" s="23"/>
      <c r="D50" s="34"/>
      <c r="E50" s="34"/>
      <c r="F50" s="34"/>
      <c r="G50" s="34"/>
      <c r="H50" s="23"/>
    </row>
    <row r="51" customFormat="false" ht="15" hidden="false" customHeight="false" outlineLevel="0" collapsed="false">
      <c r="A51" s="23"/>
      <c r="B51" s="23"/>
      <c r="C51" s="23"/>
      <c r="D51" s="34"/>
      <c r="E51" s="34"/>
      <c r="F51" s="34"/>
      <c r="G51" s="34"/>
      <c r="H51" s="23"/>
    </row>
    <row r="52" customFormat="false" ht="15" hidden="false" customHeight="false" outlineLevel="0" collapsed="false">
      <c r="A52" s="23"/>
      <c r="B52" s="23"/>
      <c r="C52" s="23"/>
      <c r="D52" s="34"/>
      <c r="E52" s="34"/>
      <c r="F52" s="34"/>
      <c r="G52" s="34"/>
      <c r="H52" s="23"/>
    </row>
    <row r="53" customFormat="false" ht="15" hidden="false" customHeight="false" outlineLevel="0" collapsed="false">
      <c r="A53" s="23"/>
      <c r="B53" s="23"/>
      <c r="C53" s="23"/>
      <c r="D53" s="34"/>
      <c r="E53" s="34"/>
      <c r="F53" s="34"/>
      <c r="G53" s="34"/>
      <c r="H53" s="23"/>
    </row>
    <row r="54" customFormat="false" ht="15" hidden="false" customHeight="false" outlineLevel="0" collapsed="false">
      <c r="A54" s="23"/>
      <c r="B54" s="23"/>
      <c r="C54" s="23"/>
      <c r="D54" s="34"/>
      <c r="E54" s="34"/>
      <c r="F54" s="34"/>
      <c r="G54" s="34"/>
      <c r="H54" s="23"/>
    </row>
    <row r="55" customFormat="false" ht="15" hidden="false" customHeight="false" outlineLevel="0" collapsed="false">
      <c r="A55" s="23"/>
      <c r="B55" s="23"/>
      <c r="C55" s="23"/>
      <c r="D55" s="34"/>
      <c r="E55" s="34"/>
      <c r="F55" s="34"/>
      <c r="G55" s="34"/>
      <c r="H55" s="23"/>
    </row>
    <row r="56" customFormat="false" ht="15" hidden="false" customHeight="false" outlineLevel="0" collapsed="false">
      <c r="A56" s="23"/>
      <c r="B56" s="23"/>
      <c r="C56" s="23"/>
      <c r="D56" s="34"/>
      <c r="E56" s="34"/>
      <c r="F56" s="34"/>
      <c r="G56" s="34"/>
      <c r="H56" s="23"/>
    </row>
    <row r="57" customFormat="false" ht="15" hidden="false" customHeight="false" outlineLevel="0" collapsed="false">
      <c r="A57" s="23"/>
      <c r="B57" s="23"/>
      <c r="C57" s="23"/>
      <c r="D57" s="34"/>
      <c r="E57" s="34"/>
      <c r="F57" s="34"/>
      <c r="G57" s="34"/>
      <c r="H57" s="23"/>
    </row>
    <row r="58" customFormat="false" ht="15" hidden="false" customHeight="false" outlineLevel="0" collapsed="false">
      <c r="A58" s="23"/>
      <c r="B58" s="23"/>
      <c r="C58" s="23"/>
      <c r="D58" s="34"/>
      <c r="E58" s="34"/>
      <c r="F58" s="34"/>
      <c r="G58" s="34"/>
      <c r="H58" s="23"/>
    </row>
    <row r="59" customFormat="false" ht="15" hidden="false" customHeight="false" outlineLevel="0" collapsed="false">
      <c r="A59" s="23"/>
      <c r="B59" s="23"/>
      <c r="C59" s="23"/>
      <c r="D59" s="34"/>
      <c r="E59" s="34"/>
      <c r="F59" s="34"/>
      <c r="G59" s="34"/>
      <c r="H59" s="23"/>
    </row>
    <row r="60" customFormat="false" ht="15" hidden="false" customHeight="false" outlineLevel="0" collapsed="false">
      <c r="A60" s="23"/>
      <c r="B60" s="23"/>
      <c r="C60" s="23"/>
      <c r="D60" s="34"/>
      <c r="E60" s="34"/>
      <c r="F60" s="34"/>
      <c r="G60" s="34"/>
      <c r="H60" s="23"/>
    </row>
    <row r="61" customFormat="false" ht="15" hidden="false" customHeight="false" outlineLevel="0" collapsed="false">
      <c r="A61" s="23"/>
      <c r="B61" s="23"/>
      <c r="C61" s="23"/>
      <c r="D61" s="34"/>
      <c r="E61" s="34"/>
      <c r="F61" s="34"/>
      <c r="G61" s="34"/>
      <c r="H61" s="23"/>
    </row>
    <row r="62" customFormat="false" ht="15" hidden="false" customHeight="false" outlineLevel="0" collapsed="false">
      <c r="A62" s="23"/>
      <c r="B62" s="23"/>
      <c r="C62" s="23"/>
      <c r="D62" s="34"/>
      <c r="E62" s="34"/>
      <c r="F62" s="34"/>
      <c r="G62" s="34"/>
      <c r="H62" s="23"/>
    </row>
    <row r="63" customFormat="false" ht="15" hidden="false" customHeight="false" outlineLevel="0" collapsed="false">
      <c r="A63" s="23"/>
      <c r="B63" s="23"/>
      <c r="C63" s="23"/>
      <c r="D63" s="34"/>
      <c r="E63" s="34"/>
      <c r="F63" s="34"/>
      <c r="G63" s="34"/>
      <c r="H63" s="23"/>
    </row>
    <row r="64" customFormat="false" ht="15" hidden="false" customHeight="false" outlineLevel="0" collapsed="false">
      <c r="A64" s="23"/>
      <c r="B64" s="23"/>
      <c r="C64" s="23"/>
      <c r="D64" s="34"/>
      <c r="E64" s="34"/>
      <c r="F64" s="34"/>
      <c r="G64" s="34"/>
      <c r="H64" s="23"/>
    </row>
    <row r="65" customFormat="false" ht="15" hidden="false" customHeight="false" outlineLevel="0" collapsed="false">
      <c r="A65" s="23"/>
      <c r="B65" s="23"/>
      <c r="C65" s="23"/>
      <c r="D65" s="34"/>
      <c r="E65" s="34"/>
      <c r="F65" s="34"/>
      <c r="G65" s="34"/>
      <c r="H65" s="23"/>
    </row>
    <row r="66" customFormat="false" ht="15" hidden="false" customHeight="false" outlineLevel="0" collapsed="false">
      <c r="A66" s="23"/>
      <c r="B66" s="23"/>
      <c r="C66" s="23"/>
      <c r="D66" s="34"/>
      <c r="E66" s="34"/>
      <c r="F66" s="34"/>
      <c r="G66" s="34"/>
      <c r="H66" s="23"/>
    </row>
    <row r="67" customFormat="false" ht="15" hidden="false" customHeight="false" outlineLevel="0" collapsed="false">
      <c r="A67" s="23"/>
      <c r="B67" s="23"/>
      <c r="C67" s="23"/>
      <c r="D67" s="34"/>
      <c r="E67" s="34"/>
      <c r="F67" s="34"/>
      <c r="G67" s="34"/>
      <c r="H67" s="23"/>
    </row>
    <row r="68" customFormat="false" ht="15" hidden="false" customHeight="false" outlineLevel="0" collapsed="false">
      <c r="A68" s="23"/>
      <c r="B68" s="23"/>
      <c r="C68" s="23"/>
      <c r="D68" s="34"/>
      <c r="E68" s="34"/>
      <c r="F68" s="34"/>
      <c r="G68" s="34"/>
      <c r="H68" s="23"/>
    </row>
    <row r="69" customFormat="false" ht="15" hidden="false" customHeight="false" outlineLevel="0" collapsed="false">
      <c r="A69" s="23"/>
      <c r="B69" s="23"/>
      <c r="C69" s="23"/>
      <c r="D69" s="34"/>
      <c r="E69" s="34"/>
      <c r="F69" s="34"/>
      <c r="G69" s="34"/>
      <c r="H69" s="23"/>
    </row>
    <row r="70" customFormat="false" ht="15" hidden="false" customHeight="false" outlineLevel="0" collapsed="false">
      <c r="A70" s="23"/>
      <c r="B70" s="23"/>
      <c r="C70" s="23"/>
      <c r="D70" s="34"/>
      <c r="E70" s="34"/>
      <c r="F70" s="34"/>
      <c r="G70" s="34"/>
      <c r="H70" s="23"/>
    </row>
    <row r="71" customFormat="false" ht="15" hidden="false" customHeight="false" outlineLevel="0" collapsed="false">
      <c r="A71" s="23"/>
      <c r="B71" s="23"/>
      <c r="C71" s="23"/>
      <c r="D71" s="34"/>
      <c r="E71" s="34"/>
      <c r="F71" s="34"/>
      <c r="G71" s="34"/>
      <c r="H71" s="23"/>
    </row>
    <row r="72" customFormat="false" ht="15" hidden="false" customHeight="false" outlineLevel="0" collapsed="false">
      <c r="A72" s="23"/>
      <c r="B72" s="23"/>
      <c r="C72" s="23"/>
      <c r="D72" s="34"/>
      <c r="E72" s="34"/>
      <c r="F72" s="34"/>
      <c r="G72" s="34"/>
      <c r="H72" s="23"/>
    </row>
    <row r="73" customFormat="false" ht="15" hidden="false" customHeight="false" outlineLevel="0" collapsed="false">
      <c r="A73" s="23"/>
      <c r="B73" s="23"/>
      <c r="C73" s="23"/>
      <c r="D73" s="34"/>
      <c r="E73" s="34"/>
      <c r="F73" s="34"/>
      <c r="G73" s="34"/>
      <c r="H73" s="23"/>
    </row>
    <row r="74" customFormat="false" ht="15" hidden="false" customHeight="false" outlineLevel="0" collapsed="false">
      <c r="A74" s="23"/>
      <c r="B74" s="23"/>
      <c r="C74" s="23"/>
      <c r="D74" s="34"/>
      <c r="E74" s="34"/>
      <c r="F74" s="34"/>
      <c r="G74" s="34"/>
      <c r="H74" s="23"/>
    </row>
    <row r="75" customFormat="false" ht="15" hidden="false" customHeight="false" outlineLevel="0" collapsed="false">
      <c r="A75" s="23"/>
      <c r="B75" s="23"/>
      <c r="C75" s="23"/>
      <c r="D75" s="34"/>
      <c r="E75" s="34"/>
      <c r="F75" s="34"/>
      <c r="G75" s="34"/>
      <c r="H75" s="23"/>
    </row>
    <row r="76" customFormat="false" ht="15" hidden="false" customHeight="false" outlineLevel="0" collapsed="false">
      <c r="A76" s="23"/>
      <c r="B76" s="23"/>
      <c r="C76" s="23"/>
      <c r="D76" s="34"/>
      <c r="E76" s="34"/>
      <c r="F76" s="34"/>
      <c r="G76" s="34"/>
      <c r="H76" s="23"/>
    </row>
    <row r="77" customFormat="false" ht="15" hidden="false" customHeight="false" outlineLevel="0" collapsed="false">
      <c r="A77" s="23"/>
      <c r="B77" s="23"/>
      <c r="C77" s="23"/>
      <c r="D77" s="34"/>
      <c r="E77" s="34"/>
      <c r="F77" s="34"/>
      <c r="G77" s="34"/>
      <c r="H77" s="23"/>
    </row>
    <row r="78" customFormat="false" ht="15" hidden="false" customHeight="false" outlineLevel="0" collapsed="false">
      <c r="A78" s="23"/>
      <c r="B78" s="23"/>
      <c r="C78" s="23"/>
      <c r="D78" s="34"/>
      <c r="E78" s="34"/>
      <c r="F78" s="34"/>
      <c r="G78" s="34"/>
      <c r="H78" s="23"/>
    </row>
    <row r="79" customFormat="false" ht="15" hidden="false" customHeight="false" outlineLevel="0" collapsed="false">
      <c r="A79" s="23"/>
      <c r="B79" s="23"/>
      <c r="C79" s="23"/>
      <c r="D79" s="34"/>
      <c r="E79" s="34"/>
      <c r="F79" s="34"/>
      <c r="G79" s="34"/>
      <c r="H79" s="23"/>
    </row>
    <row r="80" customFormat="false" ht="15" hidden="false" customHeight="false" outlineLevel="0" collapsed="false">
      <c r="A80" s="23"/>
      <c r="B80" s="23"/>
      <c r="C80" s="23"/>
      <c r="D80" s="34"/>
      <c r="E80" s="34"/>
      <c r="F80" s="34"/>
      <c r="G80" s="34"/>
      <c r="H80" s="23"/>
    </row>
    <row r="81" customFormat="false" ht="15" hidden="false" customHeight="false" outlineLevel="0" collapsed="false">
      <c r="A81" s="23"/>
      <c r="B81" s="23"/>
      <c r="C81" s="23"/>
      <c r="D81" s="34"/>
      <c r="E81" s="34"/>
      <c r="F81" s="34"/>
      <c r="G81" s="34"/>
      <c r="H81" s="23"/>
    </row>
    <row r="82" customFormat="false" ht="15" hidden="false" customHeight="false" outlineLevel="0" collapsed="false">
      <c r="A82" s="23"/>
      <c r="B82" s="23"/>
      <c r="C82" s="23"/>
      <c r="D82" s="34"/>
      <c r="E82" s="34"/>
      <c r="F82" s="34"/>
      <c r="G82" s="34"/>
      <c r="H82" s="23"/>
    </row>
    <row r="83" customFormat="false" ht="15" hidden="false" customHeight="false" outlineLevel="0" collapsed="false">
      <c r="A83" s="23"/>
      <c r="B83" s="23"/>
      <c r="C83" s="23"/>
      <c r="D83" s="34"/>
      <c r="E83" s="34"/>
      <c r="F83" s="34"/>
      <c r="G83" s="34"/>
      <c r="H83" s="23"/>
    </row>
    <row r="84" customFormat="false" ht="15" hidden="false" customHeight="false" outlineLevel="0" collapsed="false">
      <c r="A84" s="23"/>
      <c r="B84" s="23"/>
      <c r="C84" s="23"/>
      <c r="D84" s="34"/>
      <c r="E84" s="34"/>
      <c r="F84" s="34"/>
      <c r="G84" s="34"/>
      <c r="H84" s="23"/>
    </row>
    <row r="85" customFormat="false" ht="15" hidden="false" customHeight="false" outlineLevel="0" collapsed="false">
      <c r="A85" s="23"/>
      <c r="B85" s="23"/>
      <c r="C85" s="23"/>
      <c r="D85" s="34"/>
      <c r="E85" s="34"/>
      <c r="F85" s="34"/>
      <c r="G85" s="34"/>
      <c r="H85" s="23"/>
    </row>
    <row r="86" customFormat="false" ht="15" hidden="false" customHeight="false" outlineLevel="0" collapsed="false">
      <c r="A86" s="23"/>
      <c r="B86" s="23"/>
      <c r="C86" s="23"/>
      <c r="D86" s="34"/>
      <c r="E86" s="34"/>
      <c r="F86" s="34"/>
      <c r="G86" s="34"/>
      <c r="H86" s="23"/>
    </row>
    <row r="87" customFormat="false" ht="15" hidden="false" customHeight="false" outlineLevel="0" collapsed="false">
      <c r="A87" s="23"/>
      <c r="B87" s="23"/>
      <c r="C87" s="23"/>
      <c r="D87" s="34"/>
      <c r="E87" s="34"/>
      <c r="F87" s="34"/>
      <c r="G87" s="34"/>
      <c r="H87" s="23"/>
    </row>
    <row r="88" customFormat="false" ht="15" hidden="false" customHeight="false" outlineLevel="0" collapsed="false">
      <c r="A88" s="23"/>
      <c r="B88" s="23"/>
      <c r="C88" s="23"/>
      <c r="D88" s="34"/>
      <c r="E88" s="34"/>
      <c r="F88" s="34"/>
      <c r="G88" s="34"/>
      <c r="H88" s="23"/>
    </row>
    <row r="89" customFormat="false" ht="15" hidden="false" customHeight="false" outlineLevel="0" collapsed="false">
      <c r="A89" s="23"/>
      <c r="B89" s="23"/>
      <c r="C89" s="23"/>
      <c r="D89" s="34"/>
      <c r="E89" s="34"/>
      <c r="F89" s="34"/>
      <c r="G89" s="34"/>
      <c r="H89" s="23"/>
    </row>
    <row r="90" customFormat="false" ht="15" hidden="false" customHeight="false" outlineLevel="0" collapsed="false">
      <c r="A90" s="23"/>
      <c r="B90" s="23"/>
      <c r="C90" s="23"/>
      <c r="D90" s="34"/>
      <c r="E90" s="34"/>
      <c r="F90" s="34"/>
      <c r="G90" s="34"/>
      <c r="H90" s="23"/>
    </row>
    <row r="91" customFormat="false" ht="15" hidden="false" customHeight="false" outlineLevel="0" collapsed="false">
      <c r="A91" s="23"/>
      <c r="B91" s="23"/>
      <c r="C91" s="23"/>
      <c r="D91" s="34"/>
      <c r="E91" s="34"/>
      <c r="F91" s="34"/>
      <c r="G91" s="34"/>
      <c r="H91" s="23"/>
    </row>
    <row r="92" customFormat="false" ht="15" hidden="false" customHeight="false" outlineLevel="0" collapsed="false">
      <c r="A92" s="23"/>
      <c r="B92" s="23"/>
      <c r="C92" s="23"/>
      <c r="D92" s="34"/>
      <c r="E92" s="34"/>
      <c r="F92" s="34"/>
      <c r="G92" s="34"/>
      <c r="H92" s="23"/>
    </row>
    <row r="93" customFormat="false" ht="15" hidden="false" customHeight="false" outlineLevel="0" collapsed="false">
      <c r="A93" s="23"/>
      <c r="B93" s="23"/>
      <c r="C93" s="23"/>
      <c r="D93" s="34"/>
      <c r="E93" s="34"/>
      <c r="F93" s="34"/>
      <c r="G93" s="34"/>
      <c r="H93" s="23"/>
    </row>
    <row r="94" customFormat="false" ht="15" hidden="false" customHeight="false" outlineLevel="0" collapsed="false">
      <c r="A94" s="23"/>
      <c r="B94" s="23"/>
      <c r="C94" s="23"/>
      <c r="D94" s="34"/>
      <c r="E94" s="34"/>
      <c r="F94" s="34"/>
      <c r="G94" s="34"/>
      <c r="H94" s="23"/>
    </row>
    <row r="95" customFormat="false" ht="15" hidden="false" customHeight="false" outlineLevel="0" collapsed="false">
      <c r="A95" s="23"/>
      <c r="B95" s="23"/>
      <c r="C95" s="23"/>
      <c r="D95" s="34"/>
      <c r="E95" s="34"/>
      <c r="F95" s="34"/>
      <c r="G95" s="34"/>
      <c r="H95" s="23"/>
    </row>
    <row r="96" customFormat="false" ht="15" hidden="false" customHeight="false" outlineLevel="0" collapsed="false">
      <c r="A96" s="23"/>
      <c r="B96" s="23"/>
      <c r="C96" s="23"/>
      <c r="D96" s="34"/>
      <c r="E96" s="34"/>
      <c r="F96" s="34"/>
      <c r="G96" s="34"/>
      <c r="H96" s="23"/>
    </row>
    <row r="97" customFormat="false" ht="15" hidden="false" customHeight="false" outlineLevel="0" collapsed="false">
      <c r="A97" s="23"/>
      <c r="B97" s="23"/>
      <c r="C97" s="23"/>
      <c r="D97" s="34"/>
      <c r="E97" s="34"/>
      <c r="F97" s="34"/>
      <c r="G97" s="34"/>
      <c r="H97" s="23"/>
    </row>
    <row r="98" customFormat="false" ht="15" hidden="false" customHeight="false" outlineLevel="0" collapsed="false">
      <c r="A98" s="23"/>
      <c r="B98" s="23"/>
      <c r="C98" s="23"/>
      <c r="D98" s="34"/>
      <c r="E98" s="34"/>
      <c r="F98" s="34"/>
      <c r="G98" s="34"/>
      <c r="H98" s="23"/>
    </row>
    <row r="99" customFormat="false" ht="15" hidden="false" customHeight="false" outlineLevel="0" collapsed="false">
      <c r="A99" s="23"/>
      <c r="B99" s="23"/>
      <c r="C99" s="23"/>
      <c r="D99" s="34"/>
      <c r="E99" s="34"/>
      <c r="F99" s="34"/>
      <c r="G99" s="34"/>
      <c r="H99" s="23"/>
    </row>
    <row r="100" customFormat="false" ht="15" hidden="false" customHeight="false" outlineLevel="0" collapsed="false">
      <c r="A100" s="23"/>
      <c r="B100" s="23"/>
      <c r="C100" s="23"/>
      <c r="D100" s="34"/>
      <c r="E100" s="34"/>
      <c r="F100" s="34"/>
      <c r="G100" s="34"/>
      <c r="H100" s="23"/>
    </row>
    <row r="101" customFormat="false" ht="15" hidden="false" customHeight="false" outlineLevel="0" collapsed="false">
      <c r="A101" s="23"/>
      <c r="B101" s="23"/>
      <c r="C101" s="23"/>
      <c r="D101" s="34"/>
      <c r="E101" s="34"/>
      <c r="F101" s="34"/>
      <c r="G101" s="34"/>
      <c r="H101" s="23"/>
    </row>
    <row r="102" customFormat="false" ht="15" hidden="false" customHeight="false" outlineLevel="0" collapsed="false">
      <c r="A102" s="23"/>
      <c r="B102" s="23"/>
      <c r="C102" s="23"/>
      <c r="D102" s="34"/>
      <c r="E102" s="34"/>
      <c r="F102" s="34"/>
      <c r="G102" s="34"/>
      <c r="H102" s="23"/>
    </row>
    <row r="103" customFormat="false" ht="15" hidden="false" customHeight="false" outlineLevel="0" collapsed="false">
      <c r="A103" s="23"/>
      <c r="B103" s="23"/>
      <c r="C103" s="23"/>
      <c r="D103" s="34"/>
      <c r="E103" s="34"/>
      <c r="F103" s="34"/>
      <c r="G103" s="34"/>
      <c r="H103" s="23"/>
    </row>
    <row r="104" customFormat="false" ht="15" hidden="false" customHeight="false" outlineLevel="0" collapsed="false">
      <c r="A104" s="23"/>
      <c r="B104" s="23"/>
      <c r="C104" s="23"/>
      <c r="D104" s="34"/>
      <c r="E104" s="34"/>
      <c r="F104" s="34"/>
      <c r="G104" s="34"/>
      <c r="H104" s="23"/>
    </row>
    <row r="105" customFormat="false" ht="15" hidden="false" customHeight="false" outlineLevel="0" collapsed="false">
      <c r="A105" s="23"/>
      <c r="B105" s="23"/>
      <c r="C105" s="23"/>
      <c r="D105" s="34"/>
      <c r="E105" s="34"/>
      <c r="F105" s="34"/>
      <c r="G105" s="34"/>
      <c r="H105" s="23"/>
    </row>
    <row r="106" customFormat="false" ht="15" hidden="false" customHeight="false" outlineLevel="0" collapsed="false">
      <c r="A106" s="23"/>
      <c r="B106" s="23"/>
      <c r="C106" s="23"/>
      <c r="D106" s="34"/>
      <c r="E106" s="34"/>
      <c r="F106" s="34"/>
      <c r="G106" s="34"/>
      <c r="H106" s="23"/>
    </row>
    <row r="107" customFormat="false" ht="15" hidden="false" customHeight="false" outlineLevel="0" collapsed="false">
      <c r="A107" s="23"/>
      <c r="B107" s="23"/>
      <c r="C107" s="23"/>
      <c r="D107" s="34"/>
      <c r="E107" s="34"/>
      <c r="F107" s="34"/>
      <c r="G107" s="34"/>
      <c r="H107" s="23"/>
    </row>
    <row r="108" customFormat="false" ht="15" hidden="false" customHeight="false" outlineLevel="0" collapsed="false">
      <c r="A108" s="23"/>
      <c r="B108" s="23"/>
      <c r="C108" s="23"/>
      <c r="D108" s="34"/>
      <c r="E108" s="34"/>
      <c r="F108" s="34"/>
      <c r="G108" s="34"/>
      <c r="H108" s="23"/>
    </row>
    <row r="109" customFormat="false" ht="15" hidden="false" customHeight="false" outlineLevel="0" collapsed="false">
      <c r="A109" s="23"/>
      <c r="B109" s="23"/>
      <c r="C109" s="23"/>
      <c r="D109" s="34"/>
      <c r="E109" s="34"/>
      <c r="F109" s="34"/>
      <c r="G109" s="34"/>
      <c r="H109" s="23"/>
    </row>
    <row r="110" customFormat="false" ht="15" hidden="false" customHeight="false" outlineLevel="0" collapsed="false">
      <c r="A110" s="23"/>
      <c r="B110" s="23"/>
      <c r="C110" s="23"/>
      <c r="D110" s="34"/>
      <c r="E110" s="34"/>
      <c r="F110" s="34"/>
      <c r="G110" s="34"/>
      <c r="H110" s="23"/>
    </row>
    <row r="111" customFormat="false" ht="15" hidden="false" customHeight="false" outlineLevel="0" collapsed="false">
      <c r="A111" s="23"/>
      <c r="B111" s="23"/>
      <c r="C111" s="23"/>
      <c r="D111" s="34"/>
      <c r="E111" s="34"/>
      <c r="F111" s="34"/>
      <c r="G111" s="34"/>
      <c r="H111" s="23"/>
    </row>
    <row r="112" customFormat="false" ht="15" hidden="false" customHeight="false" outlineLevel="0" collapsed="false">
      <c r="A112" s="23"/>
      <c r="B112" s="23"/>
      <c r="C112" s="23"/>
      <c r="D112" s="34"/>
      <c r="E112" s="34"/>
      <c r="F112" s="34"/>
      <c r="G112" s="34"/>
      <c r="H112" s="23"/>
    </row>
    <row r="113" customFormat="false" ht="15" hidden="false" customHeight="false" outlineLevel="0" collapsed="false">
      <c r="A113" s="23"/>
      <c r="B113" s="23"/>
      <c r="C113" s="23"/>
      <c r="D113" s="34"/>
      <c r="E113" s="34"/>
      <c r="F113" s="34"/>
      <c r="G113" s="34"/>
      <c r="H113" s="23"/>
    </row>
    <row r="114" customFormat="false" ht="15" hidden="false" customHeight="false" outlineLevel="0" collapsed="false">
      <c r="A114" s="23"/>
      <c r="B114" s="23"/>
      <c r="C114" s="23"/>
      <c r="D114" s="34"/>
      <c r="E114" s="34"/>
      <c r="F114" s="34"/>
      <c r="G114" s="34"/>
      <c r="H114" s="23"/>
    </row>
    <row r="115" customFormat="false" ht="15" hidden="false" customHeight="false" outlineLevel="0" collapsed="false">
      <c r="A115" s="23"/>
      <c r="B115" s="23"/>
      <c r="C115" s="23"/>
      <c r="D115" s="34"/>
      <c r="E115" s="34"/>
      <c r="F115" s="34"/>
      <c r="G115" s="34"/>
      <c r="H115" s="23"/>
    </row>
    <row r="116" customFormat="false" ht="15" hidden="false" customHeight="false" outlineLevel="0" collapsed="false">
      <c r="A116" s="23"/>
      <c r="B116" s="23"/>
      <c r="C116" s="23"/>
      <c r="D116" s="34"/>
      <c r="E116" s="34"/>
      <c r="F116" s="34"/>
      <c r="G116" s="34"/>
      <c r="H116" s="23"/>
    </row>
    <row r="117" customFormat="false" ht="15" hidden="false" customHeight="false" outlineLevel="0" collapsed="false">
      <c r="A117" s="23"/>
      <c r="B117" s="23"/>
      <c r="C117" s="23"/>
      <c r="D117" s="34"/>
      <c r="E117" s="34"/>
      <c r="F117" s="34"/>
      <c r="G117" s="34"/>
      <c r="H117" s="23"/>
    </row>
    <row r="118" customFormat="false" ht="15" hidden="false" customHeight="false" outlineLevel="0" collapsed="false">
      <c r="A118" s="23"/>
      <c r="B118" s="23"/>
      <c r="C118" s="23"/>
      <c r="D118" s="34"/>
      <c r="E118" s="34"/>
      <c r="F118" s="34"/>
      <c r="G118" s="34"/>
      <c r="H118" s="23"/>
    </row>
    <row r="119" customFormat="false" ht="15" hidden="false" customHeight="false" outlineLevel="0" collapsed="false">
      <c r="A119" s="23"/>
      <c r="B119" s="23"/>
      <c r="C119" s="23"/>
      <c r="D119" s="34"/>
      <c r="E119" s="34"/>
      <c r="F119" s="34"/>
      <c r="G119" s="34"/>
      <c r="H119" s="23"/>
    </row>
    <row r="120" customFormat="false" ht="15" hidden="false" customHeight="false" outlineLevel="0" collapsed="false">
      <c r="A120" s="23"/>
      <c r="B120" s="23"/>
      <c r="C120" s="23"/>
      <c r="D120" s="34"/>
      <c r="E120" s="34"/>
      <c r="F120" s="34"/>
      <c r="G120" s="34"/>
      <c r="H120" s="23"/>
    </row>
    <row r="121" customFormat="false" ht="15" hidden="false" customHeight="false" outlineLevel="0" collapsed="false">
      <c r="A121" s="23"/>
      <c r="B121" s="23"/>
      <c r="C121" s="23"/>
      <c r="D121" s="34"/>
      <c r="E121" s="34"/>
      <c r="F121" s="34"/>
      <c r="G121" s="34"/>
      <c r="H121" s="23"/>
    </row>
    <row r="122" customFormat="false" ht="15" hidden="false" customHeight="false" outlineLevel="0" collapsed="false">
      <c r="A122" s="23"/>
      <c r="B122" s="23"/>
      <c r="C122" s="23"/>
      <c r="D122" s="34"/>
      <c r="E122" s="34"/>
      <c r="F122" s="34"/>
      <c r="G122" s="34"/>
      <c r="H122" s="23"/>
    </row>
    <row r="123" customFormat="false" ht="15" hidden="false" customHeight="false" outlineLevel="0" collapsed="false">
      <c r="A123" s="23"/>
      <c r="B123" s="23"/>
      <c r="C123" s="23"/>
      <c r="D123" s="34"/>
      <c r="E123" s="34"/>
      <c r="F123" s="34"/>
      <c r="G123" s="34"/>
      <c r="H123" s="23"/>
    </row>
    <row r="124" customFormat="false" ht="15" hidden="false" customHeight="false" outlineLevel="0" collapsed="false">
      <c r="A124" s="23"/>
      <c r="B124" s="23"/>
      <c r="C124" s="23"/>
      <c r="D124" s="34"/>
      <c r="E124" s="34"/>
      <c r="F124" s="34"/>
      <c r="G124" s="34"/>
      <c r="H124" s="23"/>
    </row>
    <row r="125" customFormat="false" ht="15" hidden="false" customHeight="false" outlineLevel="0" collapsed="false">
      <c r="A125" s="23"/>
      <c r="B125" s="23"/>
      <c r="C125" s="23"/>
      <c r="D125" s="34"/>
      <c r="E125" s="34"/>
      <c r="F125" s="34"/>
      <c r="G125" s="34"/>
      <c r="H125" s="23"/>
    </row>
    <row r="126" customFormat="false" ht="15" hidden="false" customHeight="false" outlineLevel="0" collapsed="false">
      <c r="A126" s="23"/>
      <c r="B126" s="23"/>
      <c r="C126" s="23"/>
      <c r="D126" s="34"/>
      <c r="E126" s="34"/>
      <c r="F126" s="34"/>
      <c r="G126" s="34"/>
      <c r="H126" s="23"/>
    </row>
    <row r="127" customFormat="false" ht="15" hidden="false" customHeight="false" outlineLevel="0" collapsed="false">
      <c r="A127" s="23"/>
      <c r="B127" s="23"/>
      <c r="C127" s="23"/>
      <c r="D127" s="34"/>
      <c r="E127" s="34"/>
      <c r="F127" s="34"/>
      <c r="G127" s="34"/>
      <c r="H127" s="23"/>
    </row>
    <row r="128" customFormat="false" ht="15" hidden="false" customHeight="false" outlineLevel="0" collapsed="false">
      <c r="A128" s="23"/>
      <c r="B128" s="23"/>
      <c r="C128" s="23"/>
      <c r="D128" s="34"/>
      <c r="E128" s="34"/>
      <c r="F128" s="34"/>
      <c r="G128" s="34"/>
      <c r="H128" s="23"/>
    </row>
    <row r="129" customFormat="false" ht="15" hidden="false" customHeight="false" outlineLevel="0" collapsed="false">
      <c r="A129" s="23"/>
      <c r="B129" s="23"/>
      <c r="C129" s="23"/>
      <c r="D129" s="34"/>
      <c r="E129" s="34"/>
      <c r="F129" s="34"/>
      <c r="G129" s="34"/>
      <c r="H129" s="23"/>
    </row>
    <row r="130" customFormat="false" ht="15" hidden="false" customHeight="false" outlineLevel="0" collapsed="false">
      <c r="A130" s="23"/>
      <c r="B130" s="23"/>
      <c r="C130" s="23"/>
      <c r="D130" s="34"/>
      <c r="E130" s="34"/>
      <c r="F130" s="34"/>
      <c r="G130" s="34"/>
      <c r="H130" s="23"/>
    </row>
    <row r="131" customFormat="false" ht="15" hidden="false" customHeight="false" outlineLevel="0" collapsed="false">
      <c r="A131" s="23"/>
      <c r="B131" s="23"/>
      <c r="C131" s="23"/>
      <c r="D131" s="34"/>
      <c r="E131" s="34"/>
      <c r="F131" s="34"/>
      <c r="G131" s="34"/>
      <c r="H131" s="23"/>
    </row>
    <row r="132" customFormat="false" ht="15" hidden="false" customHeight="false" outlineLevel="0" collapsed="false">
      <c r="A132" s="23"/>
      <c r="B132" s="23"/>
      <c r="C132" s="23"/>
      <c r="D132" s="34"/>
      <c r="E132" s="34"/>
      <c r="F132" s="34"/>
      <c r="G132" s="34"/>
      <c r="H132" s="23"/>
    </row>
    <row r="133" customFormat="false" ht="15" hidden="false" customHeight="false" outlineLevel="0" collapsed="false">
      <c r="A133" s="23"/>
      <c r="B133" s="23"/>
      <c r="C133" s="23"/>
      <c r="D133" s="34"/>
      <c r="E133" s="34"/>
      <c r="F133" s="34"/>
      <c r="G133" s="34"/>
      <c r="H133" s="23"/>
    </row>
    <row r="134" customFormat="false" ht="15" hidden="false" customHeight="false" outlineLevel="0" collapsed="false">
      <c r="A134" s="23"/>
      <c r="B134" s="23"/>
      <c r="C134" s="23"/>
      <c r="D134" s="34"/>
      <c r="E134" s="34"/>
      <c r="F134" s="34"/>
      <c r="G134" s="34"/>
      <c r="H134" s="23"/>
    </row>
    <row r="135" customFormat="false" ht="15" hidden="false" customHeight="false" outlineLevel="0" collapsed="false">
      <c r="A135" s="23"/>
      <c r="B135" s="23"/>
      <c r="C135" s="23"/>
      <c r="D135" s="34"/>
      <c r="E135" s="34"/>
      <c r="F135" s="34"/>
      <c r="G135" s="34"/>
      <c r="H135" s="23"/>
    </row>
    <row r="136" customFormat="false" ht="15" hidden="false" customHeight="false" outlineLevel="0" collapsed="false">
      <c r="A136" s="23"/>
      <c r="B136" s="23"/>
      <c r="C136" s="23"/>
      <c r="D136" s="34"/>
      <c r="E136" s="34"/>
      <c r="F136" s="34"/>
      <c r="G136" s="34"/>
      <c r="H136" s="23"/>
    </row>
    <row r="137" customFormat="false" ht="15" hidden="false" customHeight="false" outlineLevel="0" collapsed="false">
      <c r="A137" s="23"/>
      <c r="B137" s="23"/>
      <c r="C137" s="23"/>
      <c r="D137" s="34"/>
      <c r="E137" s="34"/>
      <c r="F137" s="34"/>
      <c r="G137" s="34"/>
      <c r="H137" s="23"/>
    </row>
    <row r="138" customFormat="false" ht="15" hidden="false" customHeight="false" outlineLevel="0" collapsed="false">
      <c r="A138" s="23"/>
      <c r="B138" s="23"/>
      <c r="C138" s="23"/>
      <c r="D138" s="34"/>
      <c r="E138" s="34"/>
      <c r="F138" s="34"/>
      <c r="G138" s="34"/>
      <c r="H138" s="23"/>
    </row>
    <row r="139" customFormat="false" ht="15" hidden="false" customHeight="false" outlineLevel="0" collapsed="false">
      <c r="A139" s="23"/>
      <c r="B139" s="23"/>
      <c r="C139" s="23"/>
      <c r="D139" s="34"/>
      <c r="E139" s="34"/>
      <c r="F139" s="34"/>
      <c r="G139" s="34"/>
      <c r="H139" s="23"/>
    </row>
    <row r="140" customFormat="false" ht="15" hidden="false" customHeight="false" outlineLevel="0" collapsed="false">
      <c r="A140" s="23"/>
      <c r="B140" s="23"/>
      <c r="C140" s="23"/>
      <c r="D140" s="34"/>
      <c r="E140" s="34"/>
      <c r="F140" s="34"/>
      <c r="G140" s="34"/>
      <c r="H140" s="23"/>
    </row>
    <row r="141" customFormat="false" ht="15" hidden="false" customHeight="false" outlineLevel="0" collapsed="false">
      <c r="A141" s="23"/>
      <c r="B141" s="23"/>
      <c r="C141" s="23"/>
      <c r="D141" s="34"/>
      <c r="E141" s="34"/>
      <c r="F141" s="34"/>
      <c r="G141" s="34"/>
      <c r="H141" s="23"/>
    </row>
    <row r="142" customFormat="false" ht="15" hidden="false" customHeight="false" outlineLevel="0" collapsed="false">
      <c r="A142" s="23"/>
      <c r="B142" s="23"/>
      <c r="C142" s="23"/>
      <c r="D142" s="34"/>
      <c r="E142" s="34"/>
      <c r="F142" s="34"/>
      <c r="G142" s="34"/>
      <c r="H142" s="23"/>
    </row>
    <row r="143" customFormat="false" ht="15" hidden="false" customHeight="false" outlineLevel="0" collapsed="false">
      <c r="A143" s="23"/>
      <c r="B143" s="23"/>
      <c r="C143" s="23"/>
      <c r="D143" s="34"/>
      <c r="E143" s="34"/>
      <c r="F143" s="34"/>
      <c r="G143" s="34"/>
      <c r="H143" s="23"/>
    </row>
    <row r="144" customFormat="false" ht="15" hidden="false" customHeight="false" outlineLevel="0" collapsed="false">
      <c r="A144" s="23"/>
      <c r="B144" s="23"/>
      <c r="C144" s="23"/>
      <c r="D144" s="34"/>
      <c r="E144" s="34"/>
      <c r="F144" s="34"/>
      <c r="G144" s="34"/>
      <c r="H144" s="23"/>
    </row>
    <row r="145" customFormat="false" ht="15" hidden="false" customHeight="false" outlineLevel="0" collapsed="false">
      <c r="A145" s="23"/>
      <c r="B145" s="23"/>
      <c r="C145" s="23"/>
      <c r="D145" s="34"/>
      <c r="E145" s="34"/>
      <c r="F145" s="34"/>
      <c r="G145" s="34"/>
      <c r="H145" s="23"/>
    </row>
    <row r="146" customFormat="false" ht="15" hidden="false" customHeight="false" outlineLevel="0" collapsed="false">
      <c r="A146" s="23"/>
      <c r="B146" s="23"/>
      <c r="C146" s="23"/>
      <c r="D146" s="34"/>
      <c r="E146" s="34"/>
      <c r="F146" s="34"/>
      <c r="G146" s="34"/>
      <c r="H146" s="23"/>
    </row>
    <row r="147" customFormat="false" ht="15" hidden="false" customHeight="false" outlineLevel="0" collapsed="false">
      <c r="A147" s="23"/>
      <c r="B147" s="23"/>
      <c r="C147" s="23"/>
      <c r="D147" s="34"/>
      <c r="E147" s="34"/>
      <c r="F147" s="34"/>
      <c r="G147" s="34"/>
      <c r="H147" s="23"/>
    </row>
    <row r="148" customFormat="false" ht="15" hidden="false" customHeight="false" outlineLevel="0" collapsed="false">
      <c r="A148" s="23"/>
      <c r="B148" s="23"/>
      <c r="C148" s="23"/>
      <c r="D148" s="34"/>
      <c r="E148" s="34"/>
      <c r="F148" s="34"/>
      <c r="G148" s="34"/>
      <c r="H148" s="23"/>
    </row>
    <row r="149" customFormat="false" ht="15" hidden="false" customHeight="false" outlineLevel="0" collapsed="false">
      <c r="A149" s="23"/>
      <c r="B149" s="23"/>
      <c r="C149" s="23"/>
      <c r="D149" s="34"/>
      <c r="E149" s="34"/>
      <c r="F149" s="34"/>
      <c r="G149" s="34"/>
      <c r="H149" s="23"/>
    </row>
    <row r="150" customFormat="false" ht="15" hidden="false" customHeight="false" outlineLevel="0" collapsed="false">
      <c r="A150" s="23"/>
      <c r="B150" s="23"/>
      <c r="C150" s="23"/>
      <c r="D150" s="34"/>
      <c r="E150" s="34"/>
      <c r="F150" s="34"/>
      <c r="G150" s="34"/>
      <c r="H150" s="23"/>
    </row>
    <row r="151" customFormat="false" ht="15" hidden="false" customHeight="false" outlineLevel="0" collapsed="false">
      <c r="A151" s="23"/>
      <c r="B151" s="23"/>
      <c r="C151" s="23"/>
      <c r="D151" s="34"/>
      <c r="E151" s="34"/>
      <c r="F151" s="34"/>
      <c r="G151" s="34"/>
      <c r="H151" s="23"/>
    </row>
    <row r="152" customFormat="false" ht="15" hidden="false" customHeight="false" outlineLevel="0" collapsed="false">
      <c r="A152" s="23"/>
      <c r="B152" s="23"/>
      <c r="C152" s="23"/>
      <c r="D152" s="34"/>
      <c r="E152" s="34"/>
      <c r="F152" s="34"/>
      <c r="G152" s="34"/>
      <c r="H152" s="23"/>
    </row>
    <row r="153" customFormat="false" ht="15" hidden="false" customHeight="false" outlineLevel="0" collapsed="false">
      <c r="A153" s="23"/>
      <c r="B153" s="23"/>
      <c r="C153" s="23"/>
      <c r="D153" s="34"/>
      <c r="E153" s="34"/>
      <c r="F153" s="34"/>
      <c r="G153" s="34"/>
      <c r="H153" s="23"/>
    </row>
    <row r="154" customFormat="false" ht="15" hidden="false" customHeight="false" outlineLevel="0" collapsed="false">
      <c r="A154" s="23"/>
      <c r="B154" s="23"/>
      <c r="C154" s="23"/>
      <c r="D154" s="34"/>
      <c r="E154" s="34"/>
      <c r="F154" s="34"/>
      <c r="G154" s="34"/>
      <c r="H154" s="23"/>
    </row>
    <row r="155" customFormat="false" ht="15" hidden="false" customHeight="false" outlineLevel="0" collapsed="false">
      <c r="A155" s="23"/>
      <c r="B155" s="23"/>
      <c r="C155" s="23"/>
      <c r="D155" s="34"/>
      <c r="E155" s="34"/>
      <c r="F155" s="34"/>
      <c r="G155" s="34"/>
      <c r="H155" s="23"/>
    </row>
    <row r="156" customFormat="false" ht="15" hidden="false" customHeight="false" outlineLevel="0" collapsed="false">
      <c r="A156" s="23"/>
      <c r="B156" s="23"/>
      <c r="C156" s="23"/>
      <c r="D156" s="34"/>
      <c r="E156" s="34"/>
      <c r="F156" s="34"/>
      <c r="G156" s="34"/>
      <c r="H156" s="23"/>
    </row>
    <row r="157" customFormat="false" ht="15" hidden="false" customHeight="false" outlineLevel="0" collapsed="false">
      <c r="A157" s="23"/>
      <c r="B157" s="23"/>
      <c r="C157" s="23"/>
      <c r="D157" s="34"/>
      <c r="E157" s="34"/>
      <c r="F157" s="34"/>
      <c r="G157" s="34"/>
      <c r="H157" s="23"/>
    </row>
    <row r="158" customFormat="false" ht="15" hidden="false" customHeight="false" outlineLevel="0" collapsed="false">
      <c r="A158" s="23"/>
      <c r="B158" s="23"/>
      <c r="C158" s="23"/>
      <c r="D158" s="34"/>
      <c r="E158" s="34"/>
      <c r="F158" s="34"/>
      <c r="G158" s="34"/>
      <c r="H158" s="23"/>
    </row>
    <row r="159" customFormat="false" ht="15" hidden="false" customHeight="false" outlineLevel="0" collapsed="false">
      <c r="A159" s="23"/>
      <c r="B159" s="23"/>
      <c r="C159" s="23"/>
      <c r="D159" s="34"/>
      <c r="E159" s="34"/>
      <c r="F159" s="34"/>
      <c r="G159" s="34"/>
      <c r="H159" s="23"/>
    </row>
    <row r="160" customFormat="false" ht="15" hidden="false" customHeight="false" outlineLevel="0" collapsed="false">
      <c r="A160" s="23"/>
      <c r="B160" s="23"/>
      <c r="C160" s="23"/>
      <c r="D160" s="34"/>
      <c r="E160" s="34"/>
      <c r="F160" s="34"/>
      <c r="G160" s="34"/>
      <c r="H160" s="23"/>
    </row>
    <row r="161" customFormat="false" ht="15" hidden="false" customHeight="false" outlineLevel="0" collapsed="false">
      <c r="A161" s="23"/>
      <c r="B161" s="23"/>
      <c r="C161" s="23"/>
      <c r="D161" s="34"/>
      <c r="E161" s="34"/>
      <c r="F161" s="34"/>
      <c r="G161" s="34"/>
      <c r="H161" s="23"/>
    </row>
    <row r="162" customFormat="false" ht="15" hidden="false" customHeight="false" outlineLevel="0" collapsed="false">
      <c r="A162" s="23"/>
      <c r="B162" s="23"/>
      <c r="C162" s="23"/>
      <c r="D162" s="34"/>
      <c r="E162" s="34"/>
      <c r="F162" s="34"/>
      <c r="G162" s="34"/>
      <c r="H162" s="23"/>
    </row>
    <row r="163" customFormat="false" ht="15" hidden="false" customHeight="false" outlineLevel="0" collapsed="false">
      <c r="A163" s="23"/>
      <c r="B163" s="23"/>
      <c r="C163" s="23"/>
      <c r="D163" s="34"/>
      <c r="E163" s="34"/>
      <c r="F163" s="34"/>
      <c r="G163" s="34"/>
      <c r="H163" s="23"/>
    </row>
    <row r="164" customFormat="false" ht="15" hidden="false" customHeight="false" outlineLevel="0" collapsed="false">
      <c r="A164" s="23"/>
      <c r="B164" s="23"/>
      <c r="C164" s="23"/>
      <c r="D164" s="34"/>
      <c r="E164" s="34"/>
      <c r="F164" s="34"/>
      <c r="G164" s="34"/>
      <c r="H164" s="23"/>
    </row>
    <row r="165" customFormat="false" ht="15" hidden="false" customHeight="false" outlineLevel="0" collapsed="false">
      <c r="A165" s="23"/>
      <c r="B165" s="23"/>
      <c r="C165" s="23"/>
      <c r="D165" s="34"/>
      <c r="E165" s="34"/>
      <c r="F165" s="34"/>
      <c r="G165" s="34"/>
      <c r="H165" s="23"/>
    </row>
    <row r="166" customFormat="false" ht="15" hidden="false" customHeight="false" outlineLevel="0" collapsed="false">
      <c r="A166" s="23"/>
      <c r="B166" s="23"/>
      <c r="C166" s="23"/>
      <c r="D166" s="34"/>
      <c r="E166" s="34"/>
      <c r="F166" s="34"/>
      <c r="G166" s="34"/>
      <c r="H166" s="23"/>
    </row>
    <row r="167" customFormat="false" ht="15" hidden="false" customHeight="false" outlineLevel="0" collapsed="false">
      <c r="A167" s="23"/>
      <c r="B167" s="23"/>
      <c r="C167" s="23"/>
      <c r="D167" s="34"/>
      <c r="E167" s="34"/>
      <c r="F167" s="34"/>
      <c r="G167" s="34"/>
      <c r="H167" s="23"/>
    </row>
    <row r="168" customFormat="false" ht="15" hidden="false" customHeight="false" outlineLevel="0" collapsed="false">
      <c r="A168" s="23"/>
      <c r="B168" s="23"/>
      <c r="C168" s="23"/>
      <c r="D168" s="34"/>
      <c r="E168" s="34"/>
      <c r="F168" s="34"/>
      <c r="G168" s="34"/>
      <c r="H168" s="23"/>
    </row>
    <row r="169" customFormat="false" ht="15" hidden="false" customHeight="false" outlineLevel="0" collapsed="false">
      <c r="A169" s="23"/>
      <c r="B169" s="23"/>
      <c r="C169" s="23"/>
      <c r="D169" s="34"/>
      <c r="E169" s="34"/>
      <c r="F169" s="34"/>
      <c r="G169" s="34"/>
      <c r="H169" s="23"/>
    </row>
    <row r="170" customFormat="false" ht="15" hidden="false" customHeight="false" outlineLevel="0" collapsed="false">
      <c r="A170" s="23"/>
      <c r="B170" s="23"/>
      <c r="C170" s="23"/>
      <c r="D170" s="34"/>
      <c r="E170" s="34"/>
      <c r="F170" s="34"/>
      <c r="G170" s="34"/>
      <c r="H170" s="23"/>
    </row>
    <row r="171" customFormat="false" ht="15" hidden="false" customHeight="false" outlineLevel="0" collapsed="false">
      <c r="A171" s="23"/>
      <c r="B171" s="23"/>
      <c r="C171" s="23"/>
      <c r="D171" s="34"/>
      <c r="E171" s="34"/>
      <c r="F171" s="34"/>
      <c r="G171" s="34"/>
      <c r="H171" s="23"/>
    </row>
    <row r="172" customFormat="false" ht="15" hidden="false" customHeight="false" outlineLevel="0" collapsed="false">
      <c r="A172" s="23"/>
      <c r="B172" s="23"/>
      <c r="C172" s="23"/>
      <c r="D172" s="34"/>
      <c r="E172" s="34"/>
      <c r="F172" s="34"/>
      <c r="G172" s="34"/>
      <c r="H172" s="23"/>
    </row>
    <row r="173" customFormat="false" ht="15" hidden="false" customHeight="false" outlineLevel="0" collapsed="false">
      <c r="A173" s="23"/>
      <c r="B173" s="23"/>
      <c r="C173" s="23"/>
      <c r="D173" s="34"/>
      <c r="E173" s="34"/>
      <c r="F173" s="34"/>
      <c r="G173" s="34"/>
      <c r="H173" s="23"/>
    </row>
    <row r="174" customFormat="false" ht="15" hidden="false" customHeight="false" outlineLevel="0" collapsed="false">
      <c r="A174" s="23"/>
      <c r="B174" s="23"/>
      <c r="C174" s="23"/>
      <c r="D174" s="34"/>
      <c r="E174" s="34"/>
      <c r="F174" s="34"/>
      <c r="G174" s="34"/>
      <c r="H174" s="23"/>
    </row>
    <row r="175" customFormat="false" ht="15" hidden="false" customHeight="false" outlineLevel="0" collapsed="false">
      <c r="A175" s="23"/>
      <c r="B175" s="23"/>
      <c r="C175" s="23"/>
      <c r="D175" s="34"/>
      <c r="E175" s="34"/>
      <c r="F175" s="34"/>
      <c r="G175" s="34"/>
      <c r="H175" s="23"/>
    </row>
    <row r="176" customFormat="false" ht="15" hidden="false" customHeight="false" outlineLevel="0" collapsed="false">
      <c r="A176" s="23"/>
      <c r="B176" s="23"/>
      <c r="C176" s="23"/>
      <c r="D176" s="34"/>
      <c r="E176" s="34"/>
      <c r="F176" s="34"/>
      <c r="G176" s="34"/>
      <c r="H176" s="23"/>
    </row>
    <row r="177" customFormat="false" ht="15" hidden="false" customHeight="false" outlineLevel="0" collapsed="false">
      <c r="A177" s="23"/>
      <c r="B177" s="23"/>
      <c r="C177" s="23"/>
      <c r="D177" s="34"/>
      <c r="E177" s="34"/>
      <c r="F177" s="34"/>
      <c r="G177" s="34"/>
      <c r="H177" s="23"/>
    </row>
    <row r="178" customFormat="false" ht="15" hidden="false" customHeight="false" outlineLevel="0" collapsed="false">
      <c r="A178" s="23"/>
      <c r="B178" s="23"/>
      <c r="C178" s="23"/>
      <c r="D178" s="34"/>
      <c r="E178" s="34"/>
      <c r="F178" s="34"/>
      <c r="G178" s="34"/>
      <c r="H178" s="23"/>
    </row>
    <row r="179" customFormat="false" ht="15" hidden="false" customHeight="false" outlineLevel="0" collapsed="false">
      <c r="A179" s="23"/>
      <c r="B179" s="23"/>
      <c r="C179" s="23"/>
      <c r="D179" s="34"/>
      <c r="E179" s="34"/>
      <c r="F179" s="34"/>
      <c r="G179" s="34"/>
      <c r="H179" s="23"/>
    </row>
    <row r="180" customFormat="false" ht="15" hidden="false" customHeight="false" outlineLevel="0" collapsed="false">
      <c r="A180" s="23"/>
      <c r="B180" s="23"/>
      <c r="C180" s="23"/>
      <c r="D180" s="34"/>
      <c r="E180" s="34"/>
      <c r="F180" s="34"/>
      <c r="G180" s="34"/>
      <c r="H180" s="23"/>
    </row>
    <row r="181" customFormat="false" ht="15" hidden="false" customHeight="false" outlineLevel="0" collapsed="false">
      <c r="A181" s="23"/>
      <c r="B181" s="23"/>
      <c r="C181" s="23"/>
      <c r="D181" s="34"/>
      <c r="E181" s="34"/>
      <c r="F181" s="34"/>
      <c r="G181" s="34"/>
      <c r="H181" s="23"/>
    </row>
    <row r="182" customFormat="false" ht="15" hidden="false" customHeight="false" outlineLevel="0" collapsed="false">
      <c r="A182" s="23"/>
      <c r="B182" s="23"/>
      <c r="C182" s="23"/>
      <c r="D182" s="34"/>
      <c r="E182" s="34"/>
      <c r="F182" s="34"/>
      <c r="G182" s="34"/>
      <c r="H182" s="23"/>
    </row>
    <row r="183" customFormat="false" ht="15" hidden="false" customHeight="false" outlineLevel="0" collapsed="false">
      <c r="A183" s="23"/>
      <c r="B183" s="23"/>
      <c r="C183" s="23"/>
      <c r="D183" s="34"/>
      <c r="E183" s="34"/>
      <c r="F183" s="34"/>
      <c r="G183" s="34"/>
      <c r="H183" s="23"/>
    </row>
    <row r="184" customFormat="false" ht="15" hidden="false" customHeight="false" outlineLevel="0" collapsed="false">
      <c r="A184" s="23"/>
      <c r="B184" s="23"/>
      <c r="C184" s="23"/>
      <c r="D184" s="34"/>
      <c r="E184" s="34"/>
      <c r="F184" s="34"/>
      <c r="G184" s="34"/>
      <c r="H184" s="23"/>
    </row>
    <row r="185" customFormat="false" ht="15" hidden="false" customHeight="false" outlineLevel="0" collapsed="false">
      <c r="A185" s="23"/>
      <c r="B185" s="23"/>
      <c r="C185" s="23"/>
      <c r="D185" s="34"/>
      <c r="E185" s="34"/>
      <c r="F185" s="34"/>
      <c r="G185" s="34"/>
      <c r="H185" s="23"/>
    </row>
    <row r="186" customFormat="false" ht="15" hidden="false" customHeight="false" outlineLevel="0" collapsed="false">
      <c r="A186" s="23"/>
      <c r="B186" s="23"/>
      <c r="C186" s="23"/>
      <c r="D186" s="34"/>
      <c r="E186" s="34"/>
      <c r="F186" s="34"/>
      <c r="G186" s="34"/>
      <c r="H186" s="23"/>
    </row>
    <row r="187" customFormat="false" ht="15" hidden="false" customHeight="false" outlineLevel="0" collapsed="false">
      <c r="A187" s="23"/>
      <c r="B187" s="23"/>
      <c r="C187" s="23"/>
      <c r="D187" s="34"/>
      <c r="E187" s="34"/>
      <c r="F187" s="34"/>
      <c r="G187" s="34"/>
      <c r="H187" s="23"/>
    </row>
    <row r="188" customFormat="false" ht="15" hidden="false" customHeight="false" outlineLevel="0" collapsed="false">
      <c r="A188" s="23"/>
      <c r="B188" s="23"/>
      <c r="C188" s="23"/>
      <c r="D188" s="34"/>
      <c r="E188" s="34"/>
      <c r="F188" s="34"/>
      <c r="G188" s="34"/>
      <c r="H188" s="23"/>
    </row>
    <row r="189" customFormat="false" ht="15" hidden="false" customHeight="false" outlineLevel="0" collapsed="false">
      <c r="A189" s="23"/>
      <c r="B189" s="23"/>
      <c r="C189" s="23"/>
      <c r="D189" s="34"/>
      <c r="E189" s="34"/>
      <c r="F189" s="34"/>
      <c r="G189" s="34"/>
      <c r="H189" s="23"/>
    </row>
    <row r="190" customFormat="false" ht="15" hidden="false" customHeight="false" outlineLevel="0" collapsed="false">
      <c r="A190" s="23"/>
      <c r="B190" s="23"/>
      <c r="C190" s="23"/>
      <c r="D190" s="34"/>
      <c r="E190" s="34"/>
      <c r="F190" s="34"/>
      <c r="G190" s="34"/>
      <c r="H190" s="23"/>
    </row>
    <row r="191" customFormat="false" ht="15" hidden="false" customHeight="false" outlineLevel="0" collapsed="false">
      <c r="A191" s="23"/>
      <c r="B191" s="23"/>
      <c r="C191" s="23"/>
      <c r="D191" s="34"/>
      <c r="E191" s="34"/>
      <c r="F191" s="34"/>
      <c r="G191" s="34"/>
      <c r="H191" s="23"/>
    </row>
    <row r="192" customFormat="false" ht="15" hidden="false" customHeight="false" outlineLevel="0" collapsed="false">
      <c r="A192" s="23"/>
      <c r="B192" s="23"/>
      <c r="C192" s="23"/>
      <c r="D192" s="34"/>
      <c r="E192" s="34"/>
      <c r="F192" s="34"/>
      <c r="G192" s="34"/>
      <c r="H192" s="23"/>
    </row>
    <row r="193" customFormat="false" ht="15" hidden="false" customHeight="false" outlineLevel="0" collapsed="false">
      <c r="A193" s="23"/>
      <c r="B193" s="23"/>
      <c r="C193" s="23"/>
      <c r="D193" s="34"/>
      <c r="E193" s="34"/>
      <c r="F193" s="34"/>
      <c r="G193" s="34"/>
      <c r="H193" s="23"/>
    </row>
    <row r="194" customFormat="false" ht="15" hidden="false" customHeight="false" outlineLevel="0" collapsed="false">
      <c r="A194" s="23"/>
      <c r="B194" s="23"/>
      <c r="C194" s="23"/>
      <c r="D194" s="34"/>
      <c r="E194" s="34"/>
      <c r="F194" s="34"/>
      <c r="G194" s="34"/>
      <c r="H194" s="23"/>
    </row>
    <row r="195" customFormat="false" ht="15" hidden="false" customHeight="false" outlineLevel="0" collapsed="false">
      <c r="A195" s="23"/>
      <c r="B195" s="23"/>
      <c r="C195" s="23"/>
      <c r="D195" s="34"/>
      <c r="E195" s="34"/>
      <c r="F195" s="34"/>
      <c r="G195" s="34"/>
      <c r="H195" s="23"/>
    </row>
    <row r="196" customFormat="false" ht="15" hidden="false" customHeight="false" outlineLevel="0" collapsed="false">
      <c r="A196" s="23"/>
      <c r="B196" s="23"/>
      <c r="C196" s="23"/>
      <c r="D196" s="34"/>
      <c r="E196" s="34"/>
      <c r="F196" s="34"/>
      <c r="G196" s="34"/>
      <c r="H196" s="23"/>
    </row>
    <row r="197" customFormat="false" ht="15" hidden="false" customHeight="false" outlineLevel="0" collapsed="false">
      <c r="A197" s="23"/>
      <c r="B197" s="23"/>
      <c r="C197" s="23"/>
      <c r="D197" s="34"/>
      <c r="E197" s="34"/>
      <c r="F197" s="34"/>
      <c r="G197" s="34"/>
      <c r="H197" s="23"/>
    </row>
    <row r="198" customFormat="false" ht="15" hidden="false" customHeight="false" outlineLevel="0" collapsed="false">
      <c r="A198" s="23"/>
      <c r="B198" s="23"/>
      <c r="C198" s="23"/>
      <c r="D198" s="34"/>
      <c r="E198" s="34"/>
      <c r="F198" s="34"/>
      <c r="G198" s="34"/>
      <c r="H198" s="23"/>
    </row>
    <row r="199" customFormat="false" ht="15" hidden="false" customHeight="false" outlineLevel="0" collapsed="false">
      <c r="A199" s="23"/>
      <c r="B199" s="23"/>
      <c r="C199" s="23"/>
      <c r="D199" s="34"/>
      <c r="E199" s="34"/>
      <c r="F199" s="34"/>
      <c r="G199" s="34"/>
      <c r="H199" s="23"/>
    </row>
    <row r="200" customFormat="false" ht="15" hidden="false" customHeight="false" outlineLevel="0" collapsed="false">
      <c r="A200" s="23"/>
      <c r="B200" s="23"/>
      <c r="C200" s="23"/>
      <c r="D200" s="34"/>
      <c r="E200" s="34"/>
      <c r="F200" s="34"/>
      <c r="G200" s="34"/>
      <c r="H200" s="23"/>
    </row>
    <row r="201" customFormat="false" ht="15" hidden="false" customHeight="false" outlineLevel="0" collapsed="false">
      <c r="A201" s="23"/>
      <c r="B201" s="23"/>
      <c r="C201" s="23"/>
      <c r="D201" s="34"/>
      <c r="E201" s="34"/>
      <c r="F201" s="34"/>
      <c r="G201" s="34"/>
      <c r="H201" s="23"/>
    </row>
    <row r="202" customFormat="false" ht="15" hidden="false" customHeight="false" outlineLevel="0" collapsed="false">
      <c r="A202" s="23"/>
      <c r="B202" s="23"/>
      <c r="C202" s="23"/>
      <c r="D202" s="34"/>
      <c r="E202" s="34"/>
      <c r="F202" s="34"/>
      <c r="G202" s="34"/>
      <c r="H202" s="23"/>
    </row>
    <row r="203" customFormat="false" ht="15" hidden="false" customHeight="false" outlineLevel="0" collapsed="false">
      <c r="A203" s="23"/>
      <c r="B203" s="23"/>
      <c r="C203" s="23"/>
      <c r="D203" s="34"/>
      <c r="E203" s="34"/>
      <c r="F203" s="34"/>
      <c r="G203" s="34"/>
      <c r="H203" s="23"/>
    </row>
    <row r="204" customFormat="false" ht="15" hidden="false" customHeight="false" outlineLevel="0" collapsed="false">
      <c r="A204" s="23"/>
      <c r="B204" s="23"/>
      <c r="C204" s="23"/>
      <c r="D204" s="34"/>
      <c r="E204" s="34"/>
      <c r="F204" s="34"/>
      <c r="G204" s="34"/>
      <c r="H204" s="23"/>
    </row>
    <row r="205" customFormat="false" ht="15" hidden="false" customHeight="false" outlineLevel="0" collapsed="false">
      <c r="A205" s="23"/>
      <c r="B205" s="23"/>
      <c r="C205" s="23"/>
      <c r="D205" s="34"/>
      <c r="E205" s="34"/>
      <c r="F205" s="34"/>
      <c r="G205" s="34"/>
      <c r="H205" s="23"/>
    </row>
    <row r="207" customFormat="false" ht="15" hidden="false" customHeight="false" outlineLevel="0" collapsed="false">
      <c r="A207" s="2" t="s">
        <v>175</v>
      </c>
    </row>
  </sheetData>
  <dataValidations count="2">
    <dataValidation allowBlank="true" errorStyle="stop" operator="between" showDropDown="false" showErrorMessage="false" showInputMessage="false" sqref="H5:H205" type="list">
      <formula1>"✓"</formula1>
      <formula2>0</formula2>
    </dataValidation>
    <dataValidation allowBlank="true" errorStyle="stop" operator="between" showDropDown="false" showErrorMessage="false" showInputMessage="false" sqref="C5:C205" type="list">
      <formula1>"провал,просмотр,грамматика,разговор"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38"/>
  </cols>
  <sheetData>
    <row r="1" customFormat="false" ht="17.35" hidden="false" customHeight="false" outlineLevel="0" collapsed="false">
      <c r="A1" s="13" t="s">
        <v>176</v>
      </c>
    </row>
    <row r="2" customFormat="false" ht="15" hidden="false" customHeight="false" outlineLevel="0" collapsed="false">
      <c r="A2" s="2" t="s">
        <v>177</v>
      </c>
    </row>
    <row r="4" customFormat="false" ht="31.5" hidden="false" customHeight="true" outlineLevel="0" collapsed="false">
      <c r="A4" s="14" t="s">
        <v>178</v>
      </c>
      <c r="B4" s="14" t="s">
        <v>41</v>
      </c>
      <c r="C4" s="14" t="s">
        <v>45</v>
      </c>
      <c r="D4" s="14" t="s">
        <v>26</v>
      </c>
      <c r="E4" s="14" t="s">
        <v>27</v>
      </c>
      <c r="F4" s="14" t="s">
        <v>179</v>
      </c>
      <c r="G4" s="14" t="s">
        <v>180</v>
      </c>
      <c r="H4" s="14" t="s">
        <v>181</v>
      </c>
      <c r="I4" s="14" t="s">
        <v>182</v>
      </c>
    </row>
    <row r="5" customFormat="false" ht="25.5" hidden="false" customHeight="true" outlineLevel="0" collapsed="false">
      <c r="A5" s="20" t="s">
        <v>183</v>
      </c>
      <c r="B5" s="35" t="n">
        <v>1</v>
      </c>
      <c r="C5" s="23"/>
      <c r="D5" s="23"/>
      <c r="E5" s="23"/>
      <c r="F5" s="23"/>
      <c r="G5" s="23"/>
      <c r="H5" s="23"/>
      <c r="I5" s="34"/>
    </row>
    <row r="6" customFormat="false" ht="25.5" hidden="false" customHeight="true" outlineLevel="0" collapsed="false">
      <c r="A6" s="20" t="s">
        <v>184</v>
      </c>
      <c r="B6" s="35" t="n">
        <v>20</v>
      </c>
      <c r="C6" s="23"/>
      <c r="D6" s="23"/>
      <c r="E6" s="23"/>
      <c r="F6" s="23"/>
      <c r="G6" s="23"/>
      <c r="H6" s="23"/>
      <c r="I6" s="34"/>
    </row>
    <row r="7" customFormat="false" ht="25.5" hidden="false" customHeight="true" outlineLevel="0" collapsed="false">
      <c r="A7" s="20" t="s">
        <v>185</v>
      </c>
      <c r="B7" s="35" t="n">
        <v>40</v>
      </c>
      <c r="C7" s="23"/>
      <c r="D7" s="23"/>
      <c r="E7" s="23"/>
      <c r="F7" s="23"/>
      <c r="G7" s="23"/>
      <c r="H7" s="23"/>
      <c r="I7" s="34"/>
    </row>
    <row r="9" customFormat="false" ht="15" hidden="false" customHeight="false" outlineLevel="0" collapsed="false">
      <c r="A9" s="12" t="s">
        <v>186</v>
      </c>
    </row>
    <row r="10" customFormat="false" ht="15" hidden="false" customHeight="false" outlineLevel="0" collapsed="false">
      <c r="A10" s="5" t="s">
        <v>187</v>
      </c>
      <c r="D10" s="12" t="str">
        <f aca="false">IF(COUNT(D5,D7)=2,D5-D7,"")</f>
        <v/>
      </c>
    </row>
    <row r="11" customFormat="false" ht="15" hidden="false" customHeight="false" outlineLevel="0" collapsed="false">
      <c r="A11" s="5" t="s">
        <v>188</v>
      </c>
      <c r="D11" s="12" t="str">
        <f aca="false">IF(COUNT(E5,E7)=2,E7-E5,"")</f>
        <v/>
      </c>
    </row>
    <row r="12" customFormat="false" ht="15" hidden="false" customHeight="false" outlineLevel="0" collapsed="false">
      <c r="A12" s="5" t="s">
        <v>189</v>
      </c>
      <c r="D12" s="12" t="str">
        <f aca="false">IF(COUNT(H5,H7)=2,H5-H7,"")</f>
        <v/>
      </c>
    </row>
    <row r="14" customFormat="false" ht="15" hidden="false" customHeight="false" outlineLevel="0" collapsed="false">
      <c r="A14" s="2" t="s">
        <v>190</v>
      </c>
    </row>
  </sheetData>
  <dataValidations count="1">
    <dataValidation allowBlank="true" errorStyle="stop" operator="between" showDropDown="false" showErrorMessage="false" showInputMessage="false" sqref="F5:G7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10" min="3" style="0" width="8"/>
    <col collapsed="false" customWidth="true" hidden="false" outlineLevel="0" max="11" min="11" style="0" width="9"/>
  </cols>
  <sheetData>
    <row r="1" customFormat="false" ht="17.35" hidden="false" customHeight="false" outlineLevel="0" collapsed="false">
      <c r="A1" s="13" t="s">
        <v>191</v>
      </c>
    </row>
    <row r="2" customFormat="false" ht="15" hidden="false" customHeight="false" outlineLevel="0" collapsed="false">
      <c r="A2" s="2" t="s">
        <v>192</v>
      </c>
    </row>
    <row r="4" customFormat="false" ht="31.5" hidden="false" customHeight="true" outlineLevel="0" collapsed="false">
      <c r="A4" s="14" t="s">
        <v>193</v>
      </c>
      <c r="B4" s="14" t="s">
        <v>194</v>
      </c>
      <c r="C4" s="14" t="s">
        <v>195</v>
      </c>
      <c r="D4" s="14" t="s">
        <v>196</v>
      </c>
      <c r="E4" s="14" t="s">
        <v>197</v>
      </c>
      <c r="F4" s="14" t="s">
        <v>198</v>
      </c>
      <c r="G4" s="14" t="s">
        <v>199</v>
      </c>
      <c r="H4" s="14" t="s">
        <v>200</v>
      </c>
      <c r="I4" s="14" t="s">
        <v>201</v>
      </c>
      <c r="J4" s="14" t="s">
        <v>202</v>
      </c>
      <c r="K4" s="14" t="s">
        <v>203</v>
      </c>
    </row>
    <row r="5" customFormat="false" ht="27.75" hidden="false" customHeight="true" outlineLevel="0" collapsed="false">
      <c r="A5" s="35" t="n">
        <v>1</v>
      </c>
      <c r="B5" s="22" t="s">
        <v>204</v>
      </c>
      <c r="C5" s="23"/>
      <c r="D5" s="23"/>
      <c r="E5" s="23"/>
      <c r="F5" s="23"/>
      <c r="G5" s="23"/>
      <c r="H5" s="23"/>
      <c r="I5" s="23"/>
      <c r="J5" s="23"/>
      <c r="K5" s="20" t="str">
        <f aca="false">IF(COUNT(C5:J5)=0,"",SUM(C5:J5))</f>
        <v/>
      </c>
    </row>
    <row r="6" customFormat="false" ht="27.75" hidden="false" customHeight="true" outlineLevel="0" collapsed="false">
      <c r="A6" s="35" t="n">
        <v>2</v>
      </c>
      <c r="B6" s="22" t="s">
        <v>205</v>
      </c>
      <c r="C6" s="23"/>
      <c r="D6" s="23"/>
      <c r="E6" s="23"/>
      <c r="F6" s="23"/>
      <c r="G6" s="23"/>
      <c r="H6" s="23"/>
      <c r="I6" s="23"/>
      <c r="J6" s="23"/>
      <c r="K6" s="20" t="str">
        <f aca="false">IF(COUNT(C6:J6)=0,"",SUM(C6:J6))</f>
        <v/>
      </c>
    </row>
    <row r="7" customFormat="false" ht="27.75" hidden="false" customHeight="true" outlineLevel="0" collapsed="false">
      <c r="A7" s="35" t="n">
        <v>3</v>
      </c>
      <c r="B7" s="22" t="s">
        <v>206</v>
      </c>
      <c r="C7" s="23"/>
      <c r="D7" s="23"/>
      <c r="E7" s="23"/>
      <c r="F7" s="23"/>
      <c r="G7" s="23"/>
      <c r="H7" s="23"/>
      <c r="I7" s="23"/>
      <c r="J7" s="23"/>
      <c r="K7" s="20" t="str">
        <f aca="false">IF(COUNT(C7:J7)=0,"",SUM(C7:J7))</f>
        <v/>
      </c>
    </row>
    <row r="8" customFormat="false" ht="27.75" hidden="false" customHeight="true" outlineLevel="0" collapsed="false">
      <c r="A8" s="35" t="n">
        <v>4</v>
      </c>
      <c r="B8" s="22" t="s">
        <v>207</v>
      </c>
      <c r="C8" s="23"/>
      <c r="D8" s="23"/>
      <c r="E8" s="23"/>
      <c r="F8" s="23"/>
      <c r="G8" s="23"/>
      <c r="H8" s="23"/>
      <c r="I8" s="23"/>
      <c r="J8" s="23"/>
      <c r="K8" s="20" t="str">
        <f aca="false">IF(COUNT(C8:J8)=0,"",SUM(C8:J8))</f>
        <v/>
      </c>
    </row>
    <row r="9" customFormat="false" ht="27.75" hidden="false" customHeight="true" outlineLevel="0" collapsed="false">
      <c r="A9" s="35" t="n">
        <v>5</v>
      </c>
      <c r="B9" s="22" t="s">
        <v>208</v>
      </c>
      <c r="C9" s="23"/>
      <c r="D9" s="23"/>
      <c r="E9" s="23"/>
      <c r="F9" s="23"/>
      <c r="G9" s="23"/>
      <c r="H9" s="23"/>
      <c r="I9" s="23"/>
      <c r="J9" s="23"/>
      <c r="K9" s="20" t="str">
        <f aca="false">IF(COUNT(C9:J9)=0,"",SUM(C9:J9))</f>
        <v/>
      </c>
    </row>
    <row r="10" customFormat="false" ht="27.75" hidden="false" customHeight="true" outlineLevel="0" collapsed="false">
      <c r="A10" s="35" t="n">
        <v>6</v>
      </c>
      <c r="B10" s="22" t="s">
        <v>209</v>
      </c>
      <c r="C10" s="23"/>
      <c r="D10" s="23"/>
      <c r="E10" s="23"/>
      <c r="F10" s="23"/>
      <c r="G10" s="23"/>
      <c r="H10" s="23"/>
      <c r="I10" s="23"/>
      <c r="J10" s="23"/>
      <c r="K10" s="20" t="str">
        <f aca="false">IF(COUNT(C10:J10)=0,"",SUM(C10:J10))</f>
        <v/>
      </c>
    </row>
    <row r="11" customFormat="false" ht="27.75" hidden="false" customHeight="true" outlineLevel="0" collapsed="false">
      <c r="A11" s="35" t="n">
        <v>7</v>
      </c>
      <c r="B11" s="22" t="s">
        <v>210</v>
      </c>
      <c r="C11" s="23"/>
      <c r="D11" s="23"/>
      <c r="E11" s="23"/>
      <c r="F11" s="23"/>
      <c r="G11" s="23"/>
      <c r="H11" s="23"/>
      <c r="I11" s="23"/>
      <c r="J11" s="23"/>
      <c r="K11" s="20" t="str">
        <f aca="false">IF(COUNT(C11:J11)=0,"",SUM(C11:J11))</f>
        <v/>
      </c>
    </row>
    <row r="12" customFormat="false" ht="27.75" hidden="false" customHeight="true" outlineLevel="0" collapsed="false">
      <c r="A12" s="35" t="n">
        <v>8</v>
      </c>
      <c r="B12" s="22" t="s">
        <v>211</v>
      </c>
      <c r="C12" s="23"/>
      <c r="D12" s="23"/>
      <c r="E12" s="23"/>
      <c r="F12" s="23"/>
      <c r="G12" s="23"/>
      <c r="H12" s="23"/>
      <c r="I12" s="23"/>
      <c r="J12" s="23"/>
      <c r="K12" s="20" t="str">
        <f aca="false">IF(COUNT(C12:J12)=0,"",SUM(C12:J12))</f>
        <v/>
      </c>
    </row>
    <row r="13" customFormat="false" ht="27.75" hidden="false" customHeight="true" outlineLevel="0" collapsed="false">
      <c r="A13" s="35" t="n">
        <v>9</v>
      </c>
      <c r="B13" s="22" t="s">
        <v>212</v>
      </c>
      <c r="C13" s="23"/>
      <c r="D13" s="23"/>
      <c r="E13" s="23"/>
      <c r="F13" s="23"/>
      <c r="G13" s="23"/>
      <c r="H13" s="23"/>
      <c r="I13" s="23"/>
      <c r="J13" s="23"/>
      <c r="K13" s="20" t="str">
        <f aca="false">IF(COUNT(C13:J13)=0,"",SUM(C13:J13))</f>
        <v/>
      </c>
    </row>
    <row r="14" customFormat="false" ht="27.75" hidden="false" customHeight="true" outlineLevel="0" collapsed="false">
      <c r="A14" s="35" t="n">
        <v>10</v>
      </c>
      <c r="B14" s="22" t="s">
        <v>213</v>
      </c>
      <c r="C14" s="23"/>
      <c r="D14" s="23"/>
      <c r="E14" s="23"/>
      <c r="F14" s="23"/>
      <c r="G14" s="23"/>
      <c r="H14" s="23"/>
      <c r="I14" s="23"/>
      <c r="J14" s="23"/>
      <c r="K14" s="20" t="str">
        <f aca="false">IF(COUNT(C14:J14)=0,"",SUM(C14:J14))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2026-09-03T12:55:42Z</dcterms:created>
  <dc:creator>openpyxl</dc:creator>
  <dc:description/>
  <dc:language>en-US</dc:language>
  <cp:lastModifiedBy/>
  <dcterms:modified xsi:type="dcterms:W3CDTF">2026-09-03T12:55:42Z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